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DATA ANALYTICS\"/>
    </mc:Choice>
  </mc:AlternateContent>
  <xr:revisionPtr revIDLastSave="0" documentId="8_{CD49C852-D5CD-4C69-88D5-8529449CCEC2}" xr6:coauthVersionLast="47" xr6:coauthVersionMax="47" xr10:uidLastSave="{00000000-0000-0000-0000-000000000000}"/>
  <bookViews>
    <workbookView xWindow="-108" yWindow="-108" windowWidth="23256" windowHeight="12456" activeTab="2" xr2:uid="{3D47E09F-F8BE-42FD-A3FE-0CD0B0DA8C9F}"/>
  </bookViews>
  <sheets>
    <sheet name="q1 and q2" sheetId="1" r:id="rId1"/>
    <sheet name="q3,q4,q5" sheetId="2" r:id="rId2"/>
    <sheet name="q6,q7,q8"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3" i="3" l="1"/>
  <c r="C32" i="3"/>
  <c r="E25" i="3"/>
  <c r="E26" i="3"/>
  <c r="E27" i="3"/>
  <c r="B22" i="3"/>
  <c r="E20" i="3"/>
  <c r="E19" i="3"/>
  <c r="E18" i="3"/>
  <c r="C14" i="3"/>
  <c r="C13" i="3"/>
  <c r="C12" i="3"/>
  <c r="C11" i="3"/>
  <c r="C10" i="3"/>
</calcChain>
</file>

<file path=xl/sharedStrings.xml><?xml version="1.0" encoding="utf-8"?>
<sst xmlns="http://schemas.openxmlformats.org/spreadsheetml/2006/main" count="148" uniqueCount="119">
  <si>
    <t>Q1  a)What is data cleaning, and why is it important in data analysis?
 B)What are the potential consequences of analyzing unclean or messy data?
C)Explain the common steps involved in cleaning and organizing data.</t>
  </si>
  <si>
    <r>
      <t xml:space="preserve">a) Ans: Data cleaning is the process of </t>
    </r>
    <r>
      <rPr>
        <b/>
        <sz val="11"/>
        <color theme="1"/>
        <rFont val="Aptos Narrow"/>
        <family val="2"/>
        <scheme val="minor"/>
      </rPr>
      <t>identifying and correcting errors</t>
    </r>
    <r>
      <rPr>
        <sz val="11"/>
        <color theme="1"/>
        <rFont val="Aptos Narrow"/>
        <family val="2"/>
        <scheme val="minor"/>
      </rPr>
      <t xml:space="preserve">, </t>
    </r>
    <r>
      <rPr>
        <b/>
        <sz val="11"/>
        <color theme="1"/>
        <rFont val="Aptos Narrow"/>
        <family val="2"/>
        <scheme val="minor"/>
      </rPr>
      <t>removing inconsistencies</t>
    </r>
    <r>
      <rPr>
        <sz val="11"/>
        <color theme="1"/>
        <rFont val="Aptos Narrow"/>
        <family val="2"/>
        <scheme val="minor"/>
      </rPr>
      <t xml:space="preserve">, and </t>
    </r>
    <r>
      <rPr>
        <b/>
        <sz val="11"/>
        <color theme="1"/>
        <rFont val="Aptos Narrow"/>
        <family val="2"/>
        <scheme val="minor"/>
      </rPr>
      <t>handling missing or inaccurate values</t>
    </r>
    <r>
      <rPr>
        <sz val="11"/>
        <color theme="1"/>
        <rFont val="Aptos Narrow"/>
        <family val="2"/>
        <scheme val="minor"/>
      </rPr>
      <t xml:space="preserve"> in a dataset to make it suitable for analysis.</t>
    </r>
  </si>
  <si>
    <t>b)Ans: 1. Incorrect or Misleading Conclusions  2. Poor Model Performance  3. Wasted Time &amp; Resources 4. Bad Decisions</t>
  </si>
  <si>
    <t>c)Ans: 1. Removing Duplicate Records</t>
  </si>
  <si>
    <t>3.Remove rows/columns if needed</t>
  </si>
  <si>
    <t>4.Convert data into a consistent format</t>
  </si>
  <si>
    <t>EMPLOYEE</t>
  </si>
  <si>
    <t>DEPARTMENT</t>
  </si>
  <si>
    <t>SALARY</t>
  </si>
  <si>
    <t>SONU</t>
  </si>
  <si>
    <t>PRANAV</t>
  </si>
  <si>
    <t>RAHUL</t>
  </si>
  <si>
    <t>IT</t>
  </si>
  <si>
    <t>HR</t>
  </si>
  <si>
    <t>Q2  Sorting</t>
  </si>
  <si>
    <t>Before sorting</t>
  </si>
  <si>
    <t>After Sorting</t>
  </si>
  <si>
    <t xml:space="preserve">STEPS: </t>
  </si>
  <si>
    <t>1) Select the whole table.</t>
  </si>
  <si>
    <t>2) Select Sort &amp; Filter</t>
  </si>
  <si>
    <r>
      <t xml:space="preserve">3) Add level: </t>
    </r>
    <r>
      <rPr>
        <b/>
        <sz val="11"/>
        <color theme="1"/>
        <rFont val="Aptos Narrow"/>
        <family val="2"/>
        <scheme val="minor"/>
      </rPr>
      <t>Sort by</t>
    </r>
    <r>
      <rPr>
        <sz val="11"/>
        <color theme="1"/>
        <rFont val="Aptos Narrow"/>
        <family val="2"/>
        <scheme val="minor"/>
      </rPr>
      <t xml:space="preserve"> Department → A → Z.</t>
    </r>
  </si>
  <si>
    <r>
      <t xml:space="preserve">4) Add another level: </t>
    </r>
    <r>
      <rPr>
        <b/>
        <sz val="11"/>
        <color theme="1"/>
        <rFont val="Aptos Narrow"/>
        <family val="2"/>
        <scheme val="minor"/>
      </rPr>
      <t>Then by</t>
    </r>
    <r>
      <rPr>
        <sz val="11"/>
        <color theme="1"/>
        <rFont val="Aptos Narrow"/>
        <family val="2"/>
        <scheme val="minor"/>
      </rPr>
      <t xml:space="preserve"> Salary → (Largest to Smallest)</t>
    </r>
  </si>
  <si>
    <t>5) Apply</t>
  </si>
  <si>
    <t>2.Fill missing values</t>
  </si>
  <si>
    <t>Q3 Use of text functions such as TRIM , LEFT, RIGHT, MID, and CONCAT in data cleaning</t>
  </si>
  <si>
    <t>b)</t>
  </si>
  <si>
    <t>a)  TRIM() — Remove unwanted spaces</t>
  </si>
  <si>
    <t>b) LEFT() — Extract characters from the start</t>
  </si>
  <si>
    <t>c) RIGHT() — Extract characters from the end</t>
  </si>
  <si>
    <t>d) MID() — Extract characters from the middle</t>
  </si>
  <si>
    <t>e)CONCAT() — joins multiple cells or text strings together.</t>
  </si>
  <si>
    <t>Q4 What is the role of date functions like TODAY in managing datasets</t>
  </si>
  <si>
    <t>a)</t>
  </si>
  <si>
    <t>c)</t>
  </si>
  <si>
    <t>d)</t>
  </si>
  <si>
    <t>a)Automatic Date Calculations</t>
  </si>
  <si>
    <t>b)Time-Based Filters</t>
  </si>
  <si>
    <t>c)Tracking Deadlines, Due Dates &amp; Expiry</t>
  </si>
  <si>
    <t>Q5  Data Validation to restrict Quantity values to only whole numbers between 1 and 10.</t>
  </si>
  <si>
    <t>Customer Name</t>
  </si>
  <si>
    <t>Product Name</t>
  </si>
  <si>
    <t>Category</t>
  </si>
  <si>
    <t>Quantity</t>
  </si>
  <si>
    <t>Unit Price ($)</t>
  </si>
  <si>
    <t>Jane Smith</t>
  </si>
  <si>
    <t>Shoes</t>
  </si>
  <si>
    <t>Electronics</t>
  </si>
  <si>
    <t>Isabella Moore</t>
  </si>
  <si>
    <t>Laptop</t>
  </si>
  <si>
    <t>Daniel Davis</t>
  </si>
  <si>
    <t>Sofa</t>
  </si>
  <si>
    <t>Clothing</t>
  </si>
  <si>
    <t>Alex Moore</t>
  </si>
  <si>
    <t>Michael Johnson</t>
  </si>
  <si>
    <t>Table Lamp</t>
  </si>
  <si>
    <t>Home Decor</t>
  </si>
  <si>
    <t>Daniel Johnson</t>
  </si>
  <si>
    <t>Backpack</t>
  </si>
  <si>
    <t>Isabella Davis</t>
  </si>
  <si>
    <t>Headphones</t>
  </si>
  <si>
    <t>Jane Davis</t>
  </si>
  <si>
    <t>Alex Wilson</t>
  </si>
  <si>
    <t>T-shirt</t>
  </si>
  <si>
    <t>Data Validation is applied in this table</t>
  </si>
  <si>
    <t>Steps:</t>
  </si>
  <si>
    <t>a)Select the cells I want the validation on</t>
  </si>
  <si>
    <t>b) Data → Data Validation</t>
  </si>
  <si>
    <r>
      <t>c) Settings tab</t>
    </r>
    <r>
      <rPr>
        <sz val="11"/>
        <color theme="1"/>
        <rFont val="Aptos Narrow"/>
        <family val="2"/>
        <scheme val="minor"/>
      </rPr>
      <t>: restrict values to whole numbers.</t>
    </r>
  </si>
  <si>
    <t>d)Allow: choose Whole number</t>
  </si>
  <si>
    <t>e)</t>
  </si>
  <si>
    <t>e)Data: choose between.</t>
  </si>
  <si>
    <t>f)Minimum: enter 1.</t>
  </si>
  <si>
    <t>g)Maximum: enter 10</t>
  </si>
  <si>
    <t>ExcelTipsAreGreat</t>
  </si>
  <si>
    <t>LEFT(A2,5)</t>
  </si>
  <si>
    <t>DataAnalysis.xlsx</t>
  </si>
  <si>
    <t>RIGHT(A3,4)</t>
  </si>
  <si>
    <t>MID(A4,6,4)</t>
  </si>
  <si>
    <t>TEXT</t>
  </si>
  <si>
    <t>ANSWER</t>
  </si>
  <si>
    <t>FORMULA USED</t>
  </si>
  <si>
    <t>Hello World!</t>
  </si>
  <si>
    <t>LEN(A7)</t>
  </si>
  <si>
    <t>12345-67890-ABCDE</t>
  </si>
  <si>
    <t>MID(B8,7,6)</t>
  </si>
  <si>
    <t>Q6 Understand and apply fundamental text functions like LEFT, RIGHT, MID, and LEN</t>
  </si>
  <si>
    <t>Q7 How to combine text using CONCAT, TEXTJOIN, and the &amp; operator.</t>
  </si>
  <si>
    <t xml:space="preserve">a) </t>
  </si>
  <si>
    <t>Hello</t>
  </si>
  <si>
    <t>World</t>
  </si>
  <si>
    <t>CONCAT(B12," ",C12)</t>
  </si>
  <si>
    <t>Banana</t>
  </si>
  <si>
    <t>Cherry</t>
  </si>
  <si>
    <t>Apple</t>
  </si>
  <si>
    <t>TEXTJOIN(",",TRUE,B13,C13,D13)</t>
  </si>
  <si>
    <t>:</t>
  </si>
  <si>
    <t>Excel Functions</t>
  </si>
  <si>
    <t>B14&amp;C14&amp;" "&amp;D14</t>
  </si>
  <si>
    <t>TEXTJOIN(",", TRUE, A1:A5)</t>
  </si>
  <si>
    <t>First Name</t>
  </si>
  <si>
    <t>Last Name</t>
  </si>
  <si>
    <t>Full Name</t>
  </si>
  <si>
    <t>Ansh</t>
  </si>
  <si>
    <t>Kaushik</t>
  </si>
  <si>
    <t>1)</t>
  </si>
  <si>
    <t>2)</t>
  </si>
  <si>
    <t>3)</t>
  </si>
  <si>
    <t>Arsh</t>
  </si>
  <si>
    <t>Khan</t>
  </si>
  <si>
    <t>Simran</t>
  </si>
  <si>
    <t>Kaur</t>
  </si>
  <si>
    <t>Q8 Understanding TODAY() and NOW()</t>
  </si>
  <si>
    <t>TODAY() : It returns only the current date. It is used when we only need the date without time.For eg . To calculate someone's age,to find how many days a task is overdue</t>
  </si>
  <si>
    <t>NOW(): It returns current date and current time.It is used when time of day matters.For eg to calculate hours passed since a shipment left, to track the exact time of last update on a live dashboard.</t>
  </si>
  <si>
    <t>B32-TODAY()</t>
  </si>
  <si>
    <t xml:space="preserve">BECAUSE THE DATE IS PASSED </t>
  </si>
  <si>
    <t xml:space="preserve">This is required </t>
  </si>
  <si>
    <t>If a cell contains =TODAY(), then every time you open the worksheet, Excel recalculates the formula and updates it to the current date.</t>
  </si>
  <si>
    <t>CTRL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</si>
</sst>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mm/dd/yyyy\ hh:mm\ AM/PM"/>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sz val="13.5"/>
      <color theme="1"/>
      <name val="Aptos Narrow"/>
      <family val="2"/>
      <scheme val="minor"/>
    </font>
  </fonts>
  <fills count="9">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0" fillId="3" borderId="0" xfId="0" applyFill="1" applyAlignment="1">
      <alignment horizontal="left"/>
    </xf>
    <xf numFmtId="0" fontId="0" fillId="2" borderId="0" xfId="0" applyFill="1" applyAlignment="1">
      <alignment horizontal="left" wrapText="1"/>
    </xf>
    <xf numFmtId="0" fontId="3" fillId="0" borderId="0" xfId="0" applyFont="1" applyAlignment="1">
      <alignment vertical="center"/>
    </xf>
    <xf numFmtId="0" fontId="0" fillId="3" borderId="0" xfId="0" applyFill="1"/>
    <xf numFmtId="0" fontId="0" fillId="4" borderId="0" xfId="0" applyFont="1" applyFill="1" applyAlignment="1">
      <alignment vertical="center"/>
    </xf>
    <xf numFmtId="0" fontId="0" fillId="5" borderId="0" xfId="0" applyFill="1"/>
    <xf numFmtId="0" fontId="0" fillId="2" borderId="0" xfId="0" applyFill="1"/>
    <xf numFmtId="0" fontId="0" fillId="6" borderId="0" xfId="0" applyFill="1"/>
    <xf numFmtId="0" fontId="0" fillId="7" borderId="0" xfId="0" applyFill="1"/>
    <xf numFmtId="0" fontId="3" fillId="7" borderId="0" xfId="0" applyFont="1" applyFill="1" applyAlignment="1">
      <alignment vertical="center"/>
    </xf>
    <xf numFmtId="0" fontId="3" fillId="3" borderId="0" xfId="0" applyFont="1" applyFill="1" applyAlignment="1">
      <alignment vertical="center"/>
    </xf>
    <xf numFmtId="0" fontId="0" fillId="5" borderId="0" xfId="0" applyFill="1"/>
    <xf numFmtId="0" fontId="0" fillId="5" borderId="0" xfId="0" applyFill="1" applyAlignment="1">
      <alignment horizontal="left" wrapText="1"/>
    </xf>
    <xf numFmtId="0" fontId="0" fillId="5" borderId="0" xfId="0" applyFill="1" applyAlignment="1">
      <alignment horizontal="left"/>
    </xf>
    <xf numFmtId="0" fontId="0" fillId="5" borderId="0" xfId="0" applyFont="1" applyFill="1" applyAlignment="1">
      <alignment vertical="center"/>
    </xf>
    <xf numFmtId="0" fontId="0" fillId="2" borderId="0" xfId="0" applyFill="1"/>
    <xf numFmtId="0" fontId="0" fillId="3" borderId="0" xfId="0" applyFill="1"/>
    <xf numFmtId="0" fontId="0" fillId="0" borderId="0" xfId="0" applyAlignment="1">
      <alignment horizontal="left" vertical="center" indent="1"/>
    </xf>
    <xf numFmtId="0" fontId="2" fillId="0" borderId="0" xfId="0" applyFont="1" applyAlignment="1">
      <alignment horizontal="left" vertical="center" indent="1"/>
    </xf>
    <xf numFmtId="0" fontId="0" fillId="5" borderId="0" xfId="0" applyFont="1" applyFill="1"/>
    <xf numFmtId="0" fontId="0" fillId="5" borderId="0" xfId="0" applyFont="1" applyFill="1" applyAlignment="1">
      <alignment horizontal="left" vertical="center" indent="1"/>
    </xf>
    <xf numFmtId="0" fontId="0" fillId="5" borderId="0" xfId="0" applyFill="1" applyAlignment="1">
      <alignment horizontal="left" vertical="center" indent="1"/>
    </xf>
    <xf numFmtId="0" fontId="0" fillId="0" borderId="0" xfId="0" applyFill="1"/>
    <xf numFmtId="0" fontId="2" fillId="4" borderId="0" xfId="0" applyFont="1" applyFill="1"/>
    <xf numFmtId="0" fontId="0" fillId="4" borderId="0" xfId="0" applyFill="1"/>
    <xf numFmtId="0" fontId="0" fillId="4" borderId="0" xfId="0" applyFill="1" applyAlignment="1">
      <alignment horizontal="left" vertical="center"/>
    </xf>
    <xf numFmtId="0" fontId="0" fillId="0" borderId="0" xfId="0" applyAlignment="1">
      <alignment horizontal="right"/>
    </xf>
    <xf numFmtId="0" fontId="0" fillId="4" borderId="0" xfId="0" applyFill="1" applyAlignment="1">
      <alignment horizontal="right"/>
    </xf>
    <xf numFmtId="0" fontId="0" fillId="5" borderId="0" xfId="0" applyFill="1" applyAlignment="1">
      <alignment horizontal="right"/>
    </xf>
    <xf numFmtId="0" fontId="0" fillId="5" borderId="0" xfId="0" applyFill="1" applyAlignment="1">
      <alignment horizontal="left"/>
    </xf>
    <xf numFmtId="0" fontId="2" fillId="7" borderId="0" xfId="0" applyFont="1" applyFill="1"/>
    <xf numFmtId="0" fontId="0" fillId="7" borderId="0" xfId="0" applyFill="1" applyAlignment="1">
      <alignment horizontal="right"/>
    </xf>
    <xf numFmtId="0" fontId="0" fillId="7" borderId="0" xfId="0" applyFill="1" applyAlignment="1">
      <alignment horizontal="left"/>
    </xf>
    <xf numFmtId="0" fontId="2" fillId="5" borderId="0" xfId="0" applyFont="1" applyFill="1"/>
    <xf numFmtId="0" fontId="0" fillId="3" borderId="0" xfId="0" applyFill="1" applyAlignment="1">
      <alignment horizontal="right"/>
    </xf>
    <xf numFmtId="0" fontId="0" fillId="3" borderId="0" xfId="0" applyFill="1" applyBorder="1" applyAlignment="1">
      <alignment horizontal="left" vertical="center"/>
    </xf>
    <xf numFmtId="14" fontId="0" fillId="7" borderId="0" xfId="0" applyNumberFormat="1" applyFill="1"/>
    <xf numFmtId="0" fontId="0" fillId="7" borderId="0" xfId="0" applyNumberFormat="1" applyFill="1" applyAlignment="1">
      <alignment horizontal="center"/>
    </xf>
    <xf numFmtId="170" fontId="0" fillId="5" borderId="0" xfId="0" applyNumberFormat="1" applyFill="1"/>
    <xf numFmtId="0" fontId="0" fillId="8"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C56A0-6104-4F97-9AF9-D0796A1A9BD1}">
  <dimension ref="A1:L23"/>
  <sheetViews>
    <sheetView zoomScale="115" zoomScaleNormal="115" workbookViewId="0">
      <selection activeCell="A9" sqref="A9"/>
    </sheetView>
  </sheetViews>
  <sheetFormatPr defaultRowHeight="14.4" x14ac:dyDescent="0.3"/>
  <cols>
    <col min="1" max="1" width="12.109375" customWidth="1"/>
    <col min="2" max="2" width="9.88671875" bestFit="1" customWidth="1"/>
    <col min="3" max="3" width="12.109375" bestFit="1" customWidth="1"/>
    <col min="4" max="4" width="7.21875" bestFit="1" customWidth="1"/>
    <col min="11" max="11" width="30.33203125" customWidth="1"/>
    <col min="12" max="12" width="35.44140625" customWidth="1"/>
  </cols>
  <sheetData>
    <row r="1" spans="1:12" ht="42" customHeight="1" x14ac:dyDescent="0.3">
      <c r="A1" s="2" t="s">
        <v>0</v>
      </c>
      <c r="B1" s="2"/>
      <c r="C1" s="2"/>
      <c r="D1" s="2"/>
      <c r="E1" s="2"/>
    </row>
    <row r="2" spans="1:12" x14ac:dyDescent="0.3">
      <c r="A2" s="1" t="s">
        <v>1</v>
      </c>
      <c r="B2" s="1"/>
      <c r="C2" s="1"/>
      <c r="D2" s="1"/>
      <c r="E2" s="1"/>
      <c r="F2" s="1"/>
      <c r="G2" s="1"/>
      <c r="H2" s="1"/>
      <c r="I2" s="1"/>
      <c r="J2" s="1"/>
      <c r="K2" s="1"/>
      <c r="L2" s="1"/>
    </row>
    <row r="3" spans="1:12" x14ac:dyDescent="0.3">
      <c r="A3" s="5" t="s">
        <v>2</v>
      </c>
      <c r="B3" s="5"/>
      <c r="C3" s="5"/>
      <c r="D3" s="5"/>
      <c r="E3" s="5"/>
      <c r="F3" s="5"/>
      <c r="G3" s="5"/>
      <c r="H3" s="5"/>
      <c r="I3" s="5"/>
      <c r="J3" s="5"/>
      <c r="K3" s="5"/>
      <c r="L3" s="5"/>
    </row>
    <row r="4" spans="1:12" x14ac:dyDescent="0.3">
      <c r="A4" s="12" t="s">
        <v>3</v>
      </c>
      <c r="B4" s="12"/>
      <c r="C4" s="12"/>
    </row>
    <row r="5" spans="1:12" ht="14.4" customHeight="1" x14ac:dyDescent="0.3">
      <c r="A5" s="13" t="s">
        <v>23</v>
      </c>
      <c r="B5" s="13"/>
      <c r="C5" s="13"/>
    </row>
    <row r="6" spans="1:12" x14ac:dyDescent="0.3">
      <c r="A6" s="12" t="s">
        <v>4</v>
      </c>
      <c r="B6" s="12"/>
      <c r="C6" s="12"/>
    </row>
    <row r="7" spans="1:12" ht="12.6" customHeight="1" x14ac:dyDescent="0.3">
      <c r="A7" s="15" t="s">
        <v>5</v>
      </c>
      <c r="B7" s="15"/>
      <c r="C7" s="15"/>
    </row>
    <row r="9" spans="1:12" x14ac:dyDescent="0.3">
      <c r="A9" s="7" t="s">
        <v>14</v>
      </c>
      <c r="B9" s="7"/>
      <c r="C9" s="7"/>
      <c r="D9" s="7"/>
      <c r="E9" s="7"/>
    </row>
    <row r="10" spans="1:12" x14ac:dyDescent="0.3">
      <c r="A10" s="9" t="s">
        <v>15</v>
      </c>
      <c r="B10" s="9" t="s">
        <v>6</v>
      </c>
      <c r="C10" s="9" t="s">
        <v>7</v>
      </c>
      <c r="D10" s="9" t="s">
        <v>8</v>
      </c>
    </row>
    <row r="11" spans="1:12" ht="13.2" customHeight="1" x14ac:dyDescent="0.3">
      <c r="A11" s="10"/>
      <c r="B11" s="9" t="s">
        <v>9</v>
      </c>
      <c r="C11" s="9" t="s">
        <v>12</v>
      </c>
      <c r="D11" s="9">
        <v>4000</v>
      </c>
      <c r="F11" t="s">
        <v>17</v>
      </c>
      <c r="G11" s="12" t="s">
        <v>18</v>
      </c>
      <c r="H11" s="12"/>
      <c r="I11" s="12"/>
      <c r="J11" s="6"/>
      <c r="K11" s="6"/>
    </row>
    <row r="12" spans="1:12" x14ac:dyDescent="0.3">
      <c r="A12" s="9"/>
      <c r="B12" s="9" t="s">
        <v>10</v>
      </c>
      <c r="C12" s="9" t="s">
        <v>13</v>
      </c>
      <c r="D12" s="9">
        <v>5000</v>
      </c>
      <c r="G12" s="12" t="s">
        <v>19</v>
      </c>
      <c r="H12" s="12"/>
      <c r="I12" s="12"/>
      <c r="J12" s="6"/>
      <c r="K12" s="6"/>
    </row>
    <row r="13" spans="1:12" x14ac:dyDescent="0.3">
      <c r="A13" s="9"/>
      <c r="B13" s="9" t="s">
        <v>11</v>
      </c>
      <c r="C13" s="9" t="s">
        <v>12</v>
      </c>
      <c r="D13" s="9">
        <v>2500</v>
      </c>
      <c r="G13" s="12" t="s">
        <v>20</v>
      </c>
      <c r="H13" s="12"/>
      <c r="I13" s="12"/>
      <c r="J13" s="12"/>
      <c r="K13" s="6"/>
    </row>
    <row r="14" spans="1:12" x14ac:dyDescent="0.3">
      <c r="G14" s="13" t="s">
        <v>21</v>
      </c>
      <c r="H14" s="14"/>
      <c r="I14" s="14"/>
      <c r="J14" s="14"/>
      <c r="K14" s="14"/>
    </row>
    <row r="15" spans="1:12" ht="13.2" customHeight="1" x14ac:dyDescent="0.3">
      <c r="A15" s="3"/>
      <c r="G15" s="6" t="s">
        <v>22</v>
      </c>
      <c r="H15" s="6"/>
      <c r="I15" s="6"/>
      <c r="J15" s="6"/>
      <c r="K15" s="6"/>
    </row>
    <row r="16" spans="1:12" x14ac:dyDescent="0.3">
      <c r="A16" s="4" t="s">
        <v>16</v>
      </c>
      <c r="B16" s="4" t="s">
        <v>6</v>
      </c>
      <c r="C16" s="4" t="s">
        <v>7</v>
      </c>
      <c r="D16" s="4" t="s">
        <v>8</v>
      </c>
    </row>
    <row r="17" spans="1:4" x14ac:dyDescent="0.3">
      <c r="A17" s="4"/>
      <c r="B17" s="4" t="s">
        <v>10</v>
      </c>
      <c r="C17" s="4" t="s">
        <v>13</v>
      </c>
      <c r="D17" s="4">
        <v>5000</v>
      </c>
    </row>
    <row r="18" spans="1:4" x14ac:dyDescent="0.3">
      <c r="A18" s="4"/>
      <c r="B18" s="4" t="s">
        <v>9</v>
      </c>
      <c r="C18" s="4" t="s">
        <v>12</v>
      </c>
      <c r="D18" s="4">
        <v>4000</v>
      </c>
    </row>
    <row r="19" spans="1:4" ht="18" x14ac:dyDescent="0.3">
      <c r="A19" s="11"/>
      <c r="B19" s="4" t="s">
        <v>11</v>
      </c>
      <c r="C19" s="4" t="s">
        <v>12</v>
      </c>
      <c r="D19" s="4">
        <v>2500</v>
      </c>
    </row>
    <row r="23" spans="1:4" ht="18" x14ac:dyDescent="0.3">
      <c r="A23" s="3"/>
    </row>
  </sheetData>
  <sortState xmlns:xlrd2="http://schemas.microsoft.com/office/spreadsheetml/2017/richdata2" ref="B17:D19">
    <sortCondition ref="C17:C19"/>
    <sortCondition descending="1" ref="D17:D19"/>
  </sortState>
  <mergeCells count="11">
    <mergeCell ref="G13:J13"/>
    <mergeCell ref="G14:K14"/>
    <mergeCell ref="A7:C7"/>
    <mergeCell ref="A6:C6"/>
    <mergeCell ref="A5:C5"/>
    <mergeCell ref="A4:C4"/>
    <mergeCell ref="A1:E1"/>
    <mergeCell ref="A2:L2"/>
    <mergeCell ref="A3:L3"/>
    <mergeCell ref="G11:I11"/>
    <mergeCell ref="G12:I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28669-E7B2-4980-9C1A-1C00AA013A24}">
  <dimension ref="A1:K28"/>
  <sheetViews>
    <sheetView topLeftCell="A7" workbookViewId="0">
      <selection activeCell="C27" sqref="C27"/>
    </sheetView>
  </sheetViews>
  <sheetFormatPr defaultRowHeight="14.4" x14ac:dyDescent="0.3"/>
  <cols>
    <col min="1" max="1" width="14.5546875" customWidth="1"/>
    <col min="2" max="2" width="12.5546875" bestFit="1" customWidth="1"/>
    <col min="3" max="3" width="11.109375" bestFit="1" customWidth="1"/>
    <col min="5" max="5" width="11.21875" bestFit="1" customWidth="1"/>
    <col min="6" max="6" width="30.88671875" bestFit="1" customWidth="1"/>
    <col min="7" max="7" width="7" customWidth="1"/>
    <col min="8" max="8" width="14.6640625" customWidth="1"/>
  </cols>
  <sheetData>
    <row r="1" spans="1:9" x14ac:dyDescent="0.3">
      <c r="A1" s="16" t="s">
        <v>24</v>
      </c>
      <c r="B1" s="16"/>
      <c r="C1" s="16"/>
      <c r="D1" s="16"/>
      <c r="E1" s="16"/>
      <c r="F1" s="16"/>
      <c r="G1" s="16"/>
      <c r="H1" s="16"/>
    </row>
    <row r="2" spans="1:9" x14ac:dyDescent="0.3">
      <c r="A2" s="17" t="s">
        <v>26</v>
      </c>
      <c r="B2" s="17"/>
      <c r="C2" s="17"/>
      <c r="D2" s="17"/>
      <c r="E2" s="4"/>
      <c r="F2" s="4"/>
    </row>
    <row r="3" spans="1:9" x14ac:dyDescent="0.3">
      <c r="A3" s="17" t="s">
        <v>27</v>
      </c>
      <c r="B3" s="17"/>
      <c r="C3" s="17"/>
      <c r="D3" s="17"/>
      <c r="E3" s="4"/>
      <c r="F3" s="4"/>
    </row>
    <row r="4" spans="1:9" x14ac:dyDescent="0.3">
      <c r="A4" s="17" t="s">
        <v>28</v>
      </c>
      <c r="B4" s="17"/>
      <c r="C4" s="17"/>
      <c r="D4" s="17"/>
      <c r="E4" s="17"/>
      <c r="F4" s="4"/>
    </row>
    <row r="5" spans="1:9" x14ac:dyDescent="0.3">
      <c r="A5" s="17" t="s">
        <v>29</v>
      </c>
      <c r="B5" s="17"/>
      <c r="C5" s="17"/>
      <c r="D5" s="17"/>
      <c r="E5" s="17"/>
      <c r="F5" s="4"/>
    </row>
    <row r="6" spans="1:9" x14ac:dyDescent="0.3">
      <c r="A6" s="17" t="s">
        <v>30</v>
      </c>
      <c r="B6" s="17"/>
      <c r="C6" s="17"/>
      <c r="D6" s="17"/>
      <c r="E6" s="17"/>
      <c r="F6" s="17"/>
    </row>
    <row r="8" spans="1:9" x14ac:dyDescent="0.3">
      <c r="A8" s="16" t="s">
        <v>31</v>
      </c>
      <c r="B8" s="16"/>
      <c r="C8" s="16"/>
      <c r="D8" s="16"/>
      <c r="E8" s="16"/>
      <c r="F8" s="16"/>
      <c r="G8" s="7"/>
    </row>
    <row r="9" spans="1:9" x14ac:dyDescent="0.3">
      <c r="A9" s="4" t="s">
        <v>35</v>
      </c>
      <c r="B9" s="4"/>
      <c r="C9" s="4"/>
      <c r="D9" s="4"/>
    </row>
    <row r="10" spans="1:9" x14ac:dyDescent="0.3">
      <c r="A10" s="4" t="s">
        <v>36</v>
      </c>
      <c r="B10" s="4"/>
      <c r="C10" s="4"/>
      <c r="D10" s="4"/>
    </row>
    <row r="11" spans="1:9" x14ac:dyDescent="0.3">
      <c r="A11" s="17" t="s">
        <v>37</v>
      </c>
      <c r="B11" s="17"/>
      <c r="C11" s="17"/>
      <c r="D11" s="17"/>
    </row>
    <row r="13" spans="1:9" x14ac:dyDescent="0.3">
      <c r="A13" s="16" t="s">
        <v>38</v>
      </c>
      <c r="B13" s="16"/>
      <c r="C13" s="16"/>
      <c r="D13" s="16"/>
      <c r="E13" s="16"/>
      <c r="F13" s="16"/>
      <c r="G13" s="7"/>
      <c r="H13" s="7"/>
      <c r="I13" s="7"/>
    </row>
    <row r="14" spans="1:9" x14ac:dyDescent="0.3">
      <c r="A14" s="4" t="s">
        <v>39</v>
      </c>
      <c r="B14" s="4" t="s">
        <v>40</v>
      </c>
      <c r="C14" s="4" t="s">
        <v>41</v>
      </c>
      <c r="D14" s="4" t="s">
        <v>42</v>
      </c>
      <c r="E14" s="4" t="s">
        <v>43</v>
      </c>
    </row>
    <row r="15" spans="1:9" x14ac:dyDescent="0.3">
      <c r="A15" s="4" t="s">
        <v>44</v>
      </c>
      <c r="B15" s="4" t="s">
        <v>45</v>
      </c>
      <c r="C15" s="4" t="s">
        <v>46</v>
      </c>
      <c r="D15" s="4"/>
      <c r="E15" s="4">
        <v>81</v>
      </c>
    </row>
    <row r="16" spans="1:9" x14ac:dyDescent="0.3">
      <c r="A16" s="4" t="s">
        <v>47</v>
      </c>
      <c r="B16" s="4" t="s">
        <v>48</v>
      </c>
      <c r="C16" s="4" t="s">
        <v>46</v>
      </c>
      <c r="D16" s="4"/>
      <c r="E16" s="4">
        <v>121</v>
      </c>
      <c r="F16" s="9" t="s">
        <v>63</v>
      </c>
    </row>
    <row r="17" spans="1:11" x14ac:dyDescent="0.3">
      <c r="A17" s="4" t="s">
        <v>49</v>
      </c>
      <c r="B17" s="4" t="s">
        <v>50</v>
      </c>
      <c r="C17" s="4" t="s">
        <v>51</v>
      </c>
      <c r="D17" s="4"/>
      <c r="E17" s="4">
        <v>239</v>
      </c>
    </row>
    <row r="18" spans="1:11" x14ac:dyDescent="0.3">
      <c r="A18" s="4" t="s">
        <v>52</v>
      </c>
      <c r="B18" s="4" t="s">
        <v>45</v>
      </c>
      <c r="C18" s="4" t="s">
        <v>46</v>
      </c>
      <c r="D18" s="4"/>
      <c r="E18" s="4">
        <v>500</v>
      </c>
      <c r="G18" s="6" t="s">
        <v>64</v>
      </c>
      <c r="H18" s="12" t="s">
        <v>65</v>
      </c>
      <c r="I18" s="12"/>
      <c r="J18" s="12"/>
      <c r="K18" s="6"/>
    </row>
    <row r="19" spans="1:11" x14ac:dyDescent="0.3">
      <c r="A19" s="4" t="s">
        <v>53</v>
      </c>
      <c r="B19" s="4" t="s">
        <v>54</v>
      </c>
      <c r="C19" s="4" t="s">
        <v>55</v>
      </c>
      <c r="D19" s="4"/>
      <c r="E19" s="4">
        <v>423</v>
      </c>
      <c r="G19" s="6"/>
      <c r="H19" s="14" t="s">
        <v>66</v>
      </c>
      <c r="I19" s="14"/>
      <c r="J19" s="6"/>
      <c r="K19" s="6"/>
    </row>
    <row r="20" spans="1:11" x14ac:dyDescent="0.3">
      <c r="A20" s="4" t="s">
        <v>56</v>
      </c>
      <c r="B20" s="4" t="s">
        <v>57</v>
      </c>
      <c r="C20" s="4" t="s">
        <v>46</v>
      </c>
      <c r="D20" s="4"/>
      <c r="E20" s="4">
        <v>160</v>
      </c>
      <c r="G20" s="6"/>
      <c r="H20" s="20" t="s">
        <v>67</v>
      </c>
      <c r="I20" s="20"/>
      <c r="J20" s="20"/>
      <c r="K20" s="20"/>
    </row>
    <row r="21" spans="1:11" x14ac:dyDescent="0.3">
      <c r="A21" s="4" t="s">
        <v>58</v>
      </c>
      <c r="B21" s="4" t="s">
        <v>59</v>
      </c>
      <c r="C21" s="4" t="s">
        <v>46</v>
      </c>
      <c r="D21" s="4"/>
      <c r="E21" s="4">
        <v>348</v>
      </c>
      <c r="G21" s="6"/>
      <c r="H21" s="21" t="s">
        <v>68</v>
      </c>
      <c r="I21" s="21"/>
      <c r="J21" s="21"/>
      <c r="K21" s="6"/>
    </row>
    <row r="22" spans="1:11" x14ac:dyDescent="0.3">
      <c r="A22" s="4" t="s">
        <v>60</v>
      </c>
      <c r="B22" s="4" t="s">
        <v>59</v>
      </c>
      <c r="C22" s="4" t="s">
        <v>46</v>
      </c>
      <c r="D22" s="4"/>
      <c r="E22" s="4">
        <v>152</v>
      </c>
      <c r="G22" s="6"/>
      <c r="H22" s="21" t="s">
        <v>70</v>
      </c>
      <c r="I22" s="21"/>
      <c r="J22" s="21"/>
      <c r="K22" s="6"/>
    </row>
    <row r="23" spans="1:11" x14ac:dyDescent="0.3">
      <c r="A23" s="4" t="s">
        <v>61</v>
      </c>
      <c r="B23" s="4" t="s">
        <v>62</v>
      </c>
      <c r="C23" s="4" t="s">
        <v>55</v>
      </c>
      <c r="D23" s="4"/>
      <c r="E23" s="4">
        <v>369</v>
      </c>
      <c r="G23" s="6"/>
      <c r="H23" s="22" t="s">
        <v>71</v>
      </c>
      <c r="I23" s="22"/>
      <c r="J23" s="22"/>
      <c r="K23" s="6"/>
    </row>
    <row r="24" spans="1:11" x14ac:dyDescent="0.3">
      <c r="G24" s="6"/>
      <c r="H24" s="21" t="s">
        <v>72</v>
      </c>
      <c r="I24" s="21"/>
      <c r="J24" s="21"/>
      <c r="K24" s="6"/>
    </row>
    <row r="25" spans="1:11" x14ac:dyDescent="0.3">
      <c r="H25" s="18"/>
    </row>
    <row r="26" spans="1:11" x14ac:dyDescent="0.3">
      <c r="H26" s="19"/>
    </row>
    <row r="27" spans="1:11" x14ac:dyDescent="0.3">
      <c r="H27" s="18"/>
    </row>
    <row r="28" spans="1:11" x14ac:dyDescent="0.3">
      <c r="H28" s="19"/>
    </row>
  </sheetData>
  <mergeCells count="16">
    <mergeCell ref="H24:J24"/>
    <mergeCell ref="H23:J23"/>
    <mergeCell ref="H22:J22"/>
    <mergeCell ref="A13:F13"/>
    <mergeCell ref="A8:F8"/>
    <mergeCell ref="A11:D11"/>
    <mergeCell ref="H18:J18"/>
    <mergeCell ref="H19:I19"/>
    <mergeCell ref="H20:K20"/>
    <mergeCell ref="H21:J21"/>
    <mergeCell ref="A1:H1"/>
    <mergeCell ref="A2:D2"/>
    <mergeCell ref="A3:D3"/>
    <mergeCell ref="A4:E4"/>
    <mergeCell ref="A5:E5"/>
    <mergeCell ref="A6:F6"/>
  </mergeCells>
  <dataValidations xWindow="418" yWindow="684" count="1">
    <dataValidation type="whole" allowBlank="1" showInputMessage="1" showErrorMessage="1" error="Invalid input! The quantity must be a whole number between 1 and 10." prompt="Please enter a whole number between 1 and 10" sqref="D14:D23" xr:uid="{21A71E2D-EF86-4F6C-9884-DBCD3FF6AE45}">
      <formula1>1</formula1>
      <formula2>10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95FD9-2A02-49C0-97D8-C2C510BB3022}">
  <dimension ref="A1:N35"/>
  <sheetViews>
    <sheetView tabSelected="1" workbookViewId="0">
      <selection activeCell="E37" sqref="E37"/>
    </sheetView>
  </sheetViews>
  <sheetFormatPr defaultRowHeight="14.4" x14ac:dyDescent="0.3"/>
  <cols>
    <col min="2" max="2" width="18.21875" bestFit="1" customWidth="1"/>
    <col min="3" max="3" width="9.77734375" bestFit="1" customWidth="1"/>
    <col min="4" max="4" width="14.109375" bestFit="1" customWidth="1"/>
    <col min="5" max="5" width="18.6640625" bestFit="1" customWidth="1"/>
    <col min="6" max="6" width="28" bestFit="1" customWidth="1"/>
  </cols>
  <sheetData>
    <row r="1" spans="1:10" x14ac:dyDescent="0.3">
      <c r="A1" s="6">
        <v>1</v>
      </c>
    </row>
    <row r="2" spans="1:10" x14ac:dyDescent="0.3">
      <c r="A2" s="6">
        <v>2</v>
      </c>
    </row>
    <row r="3" spans="1:10" x14ac:dyDescent="0.3">
      <c r="A3" s="6">
        <v>3</v>
      </c>
    </row>
    <row r="4" spans="1:10" x14ac:dyDescent="0.3">
      <c r="A4" s="6">
        <v>4</v>
      </c>
    </row>
    <row r="5" spans="1:10" x14ac:dyDescent="0.3">
      <c r="A5" s="6">
        <v>5</v>
      </c>
    </row>
    <row r="7" spans="1:10" x14ac:dyDescent="0.3">
      <c r="A7" s="16" t="s">
        <v>85</v>
      </c>
      <c r="B7" s="16"/>
      <c r="C7" s="16"/>
      <c r="D7" s="16"/>
      <c r="E7" s="16"/>
      <c r="F7" s="16"/>
      <c r="G7" s="16"/>
      <c r="H7" s="16"/>
      <c r="I7" s="16"/>
      <c r="J7" s="16"/>
    </row>
    <row r="8" spans="1:10" x14ac:dyDescent="0.3">
      <c r="B8" s="23"/>
      <c r="C8" s="23"/>
      <c r="D8" s="23"/>
      <c r="E8" s="23"/>
      <c r="F8" s="23"/>
      <c r="G8" s="23"/>
      <c r="H8" s="23"/>
      <c r="I8" s="23"/>
      <c r="J8" s="23"/>
    </row>
    <row r="9" spans="1:10" x14ac:dyDescent="0.3">
      <c r="A9" s="25"/>
      <c r="B9" s="24" t="s">
        <v>78</v>
      </c>
      <c r="C9" s="24" t="s">
        <v>79</v>
      </c>
      <c r="D9" s="24" t="s">
        <v>80</v>
      </c>
      <c r="E9" s="23"/>
      <c r="F9" s="23"/>
      <c r="G9" s="23"/>
      <c r="H9" s="23"/>
      <c r="I9" s="23"/>
      <c r="J9" s="23"/>
    </row>
    <row r="10" spans="1:10" x14ac:dyDescent="0.3">
      <c r="A10" s="28" t="s">
        <v>32</v>
      </c>
      <c r="B10" s="25" t="s">
        <v>73</v>
      </c>
      <c r="C10" s="25" t="str">
        <f>LEFT(B10,5)</f>
        <v>Excel</v>
      </c>
      <c r="D10" s="25" t="s">
        <v>74</v>
      </c>
    </row>
    <row r="11" spans="1:10" x14ac:dyDescent="0.3">
      <c r="A11" s="28" t="s">
        <v>25</v>
      </c>
      <c r="B11" s="25" t="s">
        <v>75</v>
      </c>
      <c r="C11" s="25" t="str">
        <f>RIGHT(B11,4)</f>
        <v>xlsx</v>
      </c>
      <c r="D11" s="25" t="s">
        <v>76</v>
      </c>
    </row>
    <row r="12" spans="1:10" x14ac:dyDescent="0.3">
      <c r="A12" s="28" t="s">
        <v>33</v>
      </c>
      <c r="B12" s="25" t="s">
        <v>73</v>
      </c>
      <c r="C12" s="25" t="str">
        <f>MID(B12,6,4)</f>
        <v>Tips</v>
      </c>
      <c r="D12" s="25" t="s">
        <v>77</v>
      </c>
    </row>
    <row r="13" spans="1:10" x14ac:dyDescent="0.3">
      <c r="A13" s="28" t="s">
        <v>34</v>
      </c>
      <c r="B13" s="25" t="s">
        <v>81</v>
      </c>
      <c r="C13" s="26">
        <f>LEN(B13)</f>
        <v>12</v>
      </c>
      <c r="D13" s="25" t="s">
        <v>82</v>
      </c>
    </row>
    <row r="14" spans="1:10" x14ac:dyDescent="0.3">
      <c r="A14" s="28" t="s">
        <v>69</v>
      </c>
      <c r="B14" s="25" t="s">
        <v>83</v>
      </c>
      <c r="C14" s="25" t="str">
        <f>MID(B14,7,6)</f>
        <v>67890-</v>
      </c>
      <c r="D14" s="25" t="s">
        <v>84</v>
      </c>
    </row>
    <row r="16" spans="1:10" x14ac:dyDescent="0.3">
      <c r="A16" s="16" t="s">
        <v>86</v>
      </c>
      <c r="B16" s="16"/>
      <c r="C16" s="16"/>
      <c r="D16" s="16"/>
      <c r="E16" s="16"/>
      <c r="F16" s="16"/>
      <c r="G16" s="16"/>
      <c r="H16" s="16"/>
      <c r="I16" s="16"/>
      <c r="J16" s="16"/>
    </row>
    <row r="17" spans="1:14" x14ac:dyDescent="0.3">
      <c r="A17" s="9"/>
      <c r="B17" s="9"/>
      <c r="C17" s="9"/>
      <c r="D17" s="9"/>
      <c r="E17" s="31"/>
      <c r="F17" s="31" t="s">
        <v>80</v>
      </c>
    </row>
    <row r="18" spans="1:14" x14ac:dyDescent="0.3">
      <c r="A18" s="32" t="s">
        <v>87</v>
      </c>
      <c r="B18" s="9" t="s">
        <v>88</v>
      </c>
      <c r="C18" s="9" t="s">
        <v>89</v>
      </c>
      <c r="D18" s="9"/>
      <c r="E18" s="9" t="str">
        <f>_xlfn.CONCAT(B18," ",C18)</f>
        <v>Hello World</v>
      </c>
      <c r="F18" s="9" t="s">
        <v>90</v>
      </c>
    </row>
    <row r="19" spans="1:14" x14ac:dyDescent="0.3">
      <c r="A19" s="32" t="s">
        <v>25</v>
      </c>
      <c r="B19" s="9" t="s">
        <v>93</v>
      </c>
      <c r="C19" s="9" t="s">
        <v>91</v>
      </c>
      <c r="D19" s="9" t="s">
        <v>92</v>
      </c>
      <c r="E19" s="9" t="str">
        <f>_xlfn.TEXTJOIN(",",TRUE,B19,C19,D19)</f>
        <v>Apple,Banana,Cherry</v>
      </c>
      <c r="F19" s="9" t="s">
        <v>94</v>
      </c>
    </row>
    <row r="20" spans="1:14" x14ac:dyDescent="0.3">
      <c r="A20" s="32" t="s">
        <v>33</v>
      </c>
      <c r="B20" s="33">
        <v>2025</v>
      </c>
      <c r="C20" s="9" t="s">
        <v>95</v>
      </c>
      <c r="D20" s="9" t="s">
        <v>96</v>
      </c>
      <c r="E20" s="9" t="str">
        <f>B20&amp;C20&amp;" "&amp;D20</f>
        <v>2025: Excel Functions</v>
      </c>
      <c r="F20" s="9" t="s">
        <v>97</v>
      </c>
    </row>
    <row r="21" spans="1:14" x14ac:dyDescent="0.3">
      <c r="A21" s="27"/>
    </row>
    <row r="22" spans="1:14" x14ac:dyDescent="0.3">
      <c r="A22" s="29" t="s">
        <v>34</v>
      </c>
      <c r="B22" s="30" t="str">
        <f>_xlfn.TEXTJOIN(", ", TRUE, A1:A5)</f>
        <v>1, 2, 3, 4, 5</v>
      </c>
      <c r="C22" s="6"/>
      <c r="D22" s="6"/>
      <c r="E22" s="6"/>
      <c r="F22" s="34" t="s">
        <v>98</v>
      </c>
    </row>
    <row r="24" spans="1:14" x14ac:dyDescent="0.3">
      <c r="A24" s="35" t="s">
        <v>69</v>
      </c>
      <c r="B24" s="4"/>
      <c r="C24" s="4" t="s">
        <v>99</v>
      </c>
      <c r="D24" s="4" t="s">
        <v>100</v>
      </c>
      <c r="E24" s="4" t="s">
        <v>101</v>
      </c>
    </row>
    <row r="25" spans="1:14" x14ac:dyDescent="0.3">
      <c r="A25" s="4"/>
      <c r="B25" s="35" t="s">
        <v>104</v>
      </c>
      <c r="C25" s="4" t="s">
        <v>102</v>
      </c>
      <c r="D25" s="4" t="s">
        <v>103</v>
      </c>
      <c r="E25" s="4" t="str">
        <f>_xlfn.CONCAT($C25," ",$D25)</f>
        <v>Ansh Kaushik</v>
      </c>
    </row>
    <row r="26" spans="1:14" x14ac:dyDescent="0.3">
      <c r="A26" s="4"/>
      <c r="B26" s="35" t="s">
        <v>105</v>
      </c>
      <c r="C26" s="4" t="s">
        <v>107</v>
      </c>
      <c r="D26" s="4" t="s">
        <v>108</v>
      </c>
      <c r="E26" s="4" t="str">
        <f t="shared" ref="E26:E27" si="0">_xlfn.CONCAT($C26," ",$D26)</f>
        <v>Arsh Khan</v>
      </c>
    </row>
    <row r="27" spans="1:14" x14ac:dyDescent="0.3">
      <c r="A27" s="4"/>
      <c r="B27" s="35" t="s">
        <v>106</v>
      </c>
      <c r="C27" s="4" t="s">
        <v>109</v>
      </c>
      <c r="D27" s="4" t="s">
        <v>110</v>
      </c>
      <c r="E27" s="4" t="str">
        <f t="shared" si="0"/>
        <v>Simran Kaur</v>
      </c>
    </row>
    <row r="29" spans="1:14" x14ac:dyDescent="0.3">
      <c r="A29" s="16" t="s">
        <v>111</v>
      </c>
      <c r="B29" s="16"/>
      <c r="C29" s="16"/>
      <c r="D29" s="16"/>
      <c r="E29" s="16"/>
      <c r="F29" s="16"/>
      <c r="G29" s="16"/>
      <c r="H29" s="16"/>
      <c r="I29" s="16"/>
      <c r="J29" s="16"/>
    </row>
    <row r="30" spans="1:14" ht="14.4" customHeight="1" x14ac:dyDescent="0.3">
      <c r="A30" s="27" t="s">
        <v>32</v>
      </c>
      <c r="B30" s="36" t="s">
        <v>112</v>
      </c>
      <c r="C30" s="36"/>
      <c r="D30" s="36"/>
      <c r="E30" s="36"/>
      <c r="F30" s="36"/>
      <c r="G30" s="36"/>
      <c r="H30" s="36"/>
      <c r="I30" s="36"/>
      <c r="J30" s="36"/>
      <c r="K30" s="36"/>
      <c r="L30" s="36"/>
      <c r="M30" s="36"/>
      <c r="N30" s="36"/>
    </row>
    <row r="31" spans="1:14" ht="14.4" customHeight="1" x14ac:dyDescent="0.3">
      <c r="A31" s="27"/>
      <c r="B31" s="36" t="s">
        <v>113</v>
      </c>
      <c r="C31" s="36"/>
      <c r="D31" s="36"/>
      <c r="E31" s="36"/>
      <c r="F31" s="36"/>
      <c r="G31" s="36"/>
      <c r="H31" s="36"/>
      <c r="I31" s="36"/>
      <c r="J31" s="36"/>
      <c r="K31" s="36"/>
      <c r="L31" s="36"/>
      <c r="M31" s="36"/>
      <c r="N31" s="36"/>
    </row>
    <row r="32" spans="1:14" x14ac:dyDescent="0.3">
      <c r="A32" s="27" t="s">
        <v>25</v>
      </c>
      <c r="B32" s="37">
        <v>45936</v>
      </c>
      <c r="C32" s="38">
        <f ca="1">B32-TODAY()</f>
        <v>-64</v>
      </c>
      <c r="D32" s="37" t="s">
        <v>114</v>
      </c>
      <c r="E32" s="9" t="s">
        <v>115</v>
      </c>
      <c r="F32" s="9"/>
    </row>
    <row r="33" spans="1:9" x14ac:dyDescent="0.3">
      <c r="A33" s="27" t="s">
        <v>33</v>
      </c>
      <c r="B33" s="39">
        <f ca="1">NOW()</f>
        <v>46000.853028703707</v>
      </c>
      <c r="C33" s="12" t="s">
        <v>116</v>
      </c>
      <c r="D33" s="12"/>
    </row>
    <row r="34" spans="1:9" x14ac:dyDescent="0.3">
      <c r="A34" s="27" t="s">
        <v>34</v>
      </c>
      <c r="B34" s="40" t="s">
        <v>117</v>
      </c>
      <c r="C34" s="40"/>
      <c r="D34" s="40"/>
      <c r="E34" s="40"/>
      <c r="F34" s="40"/>
      <c r="G34" s="40"/>
      <c r="H34" s="40"/>
      <c r="I34" s="40"/>
    </row>
    <row r="35" spans="1:9" x14ac:dyDescent="0.3">
      <c r="A35" s="27" t="s">
        <v>69</v>
      </c>
      <c r="B35" s="8" t="s">
        <v>118</v>
      </c>
    </row>
  </sheetData>
  <mergeCells count="7">
    <mergeCell ref="B31:N31"/>
    <mergeCell ref="B30:N30"/>
    <mergeCell ref="C33:D33"/>
    <mergeCell ref="B34:I34"/>
    <mergeCell ref="A7:J7"/>
    <mergeCell ref="A16:J16"/>
    <mergeCell ref="A29:J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q1 and q2</vt:lpstr>
      <vt:lpstr>q3,q4,q5</vt:lpstr>
      <vt:lpstr>q6,q7,q8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 Kaushik</dc:creator>
  <cp:lastModifiedBy>Ansh Kaushik</cp:lastModifiedBy>
  <dcterms:created xsi:type="dcterms:W3CDTF">2025-12-09T12:18:33Z</dcterms:created>
  <dcterms:modified xsi:type="dcterms:W3CDTF">2025-12-09T14:59:03Z</dcterms:modified>
</cp:coreProperties>
</file>