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TICS\"/>
    </mc:Choice>
  </mc:AlternateContent>
  <xr:revisionPtr revIDLastSave="0" documentId="13_ncr:1_{C0A6D72E-1FA0-4782-9D76-4ECDE121614F}" xr6:coauthVersionLast="47" xr6:coauthVersionMax="47" xr10:uidLastSave="{00000000-0000-0000-0000-000000000000}"/>
  <bookViews>
    <workbookView xWindow="-108" yWindow="-108" windowWidth="23256" windowHeight="12456" activeTab="2" xr2:uid="{64BEADD1-BC3E-4FCC-8500-8FA71DFC0217}"/>
  </bookViews>
  <sheets>
    <sheet name="Q1,Q2,Q3" sheetId="1" r:id="rId1"/>
    <sheet name="Q4,Q5,Q6" sheetId="2" r:id="rId2"/>
    <sheet name="Q7,Q8"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2" i="2" l="1"/>
  <c r="B9" i="2"/>
  <c r="B20" i="3"/>
  <c r="B9" i="3"/>
  <c r="D28" i="2"/>
  <c r="D29" i="2"/>
  <c r="D30" i="2"/>
  <c r="C23" i="1"/>
  <c r="C24" i="1"/>
  <c r="C25" i="1"/>
  <c r="C26" i="1"/>
  <c r="C27" i="1"/>
  <c r="E15" i="1"/>
  <c r="E16" i="1"/>
  <c r="E17" i="1"/>
  <c r="E14" i="1"/>
  <c r="D17" i="1"/>
  <c r="D15" i="1"/>
  <c r="D16" i="1"/>
  <c r="D14" i="1"/>
  <c r="C5" i="1"/>
  <c r="C6" i="1"/>
  <c r="C7" i="1"/>
  <c r="C8" i="1"/>
  <c r="C4" i="1"/>
</calcChain>
</file>

<file path=xl/sharedStrings.xml><?xml version="1.0" encoding="utf-8"?>
<sst xmlns="http://schemas.openxmlformats.org/spreadsheetml/2006/main" count="100" uniqueCount="75">
  <si>
    <t>Q1 Write a formula to check if the marks in cell  are greater than or equal to 40</t>
  </si>
  <si>
    <t>Student Name</t>
  </si>
  <si>
    <t>Marks</t>
  </si>
  <si>
    <t>Riya</t>
  </si>
  <si>
    <t>Siya</t>
  </si>
  <si>
    <t>Raju</t>
  </si>
  <si>
    <t>Rahul</t>
  </si>
  <si>
    <t>Ram</t>
  </si>
  <si>
    <t>Result</t>
  </si>
  <si>
    <t>Formula used</t>
  </si>
  <si>
    <t>IF($B4&gt;=40,"Pass","Fail")</t>
  </si>
  <si>
    <t>IF($B5&gt;=40,"Pass","Fail")</t>
  </si>
  <si>
    <t>IF($B6&gt;=40,"Pass","Fail")</t>
  </si>
  <si>
    <t>IF($B7&gt;=40,"Pass","Fail")</t>
  </si>
  <si>
    <t>IF($B8&gt;=40,"Pass","Fail")</t>
  </si>
  <si>
    <t>Employee</t>
  </si>
  <si>
    <t>Sales</t>
  </si>
  <si>
    <t>Attendance</t>
  </si>
  <si>
    <t>Arjun</t>
  </si>
  <si>
    <t>Simran</t>
  </si>
  <si>
    <t>Rohit</t>
  </si>
  <si>
    <t>Anjali</t>
  </si>
  <si>
    <t>Bonus Status</t>
  </si>
  <si>
    <t>Formula used:</t>
  </si>
  <si>
    <t>AND($B17&gt;40000,$C17&gt;=90)</t>
  </si>
  <si>
    <t>IF($D14=TRUE,"Bonus Given","Not Given")</t>
  </si>
  <si>
    <t>Q2 Write a formula to calculate whether the employee will get a bonus or not</t>
  </si>
  <si>
    <t>Q3 Write a nested IF formula:</t>
  </si>
  <si>
    <t>Raj</t>
  </si>
  <si>
    <t>Neha</t>
  </si>
  <si>
    <t>Vivek</t>
  </si>
  <si>
    <t>Rani</t>
  </si>
  <si>
    <t>Sneha</t>
  </si>
  <si>
    <t>Grades</t>
  </si>
  <si>
    <t>IF($B23&gt;=90,"A",IF($B23&gt;=75,"B",IF($B23&gt;=50,"C","FAIL")))</t>
  </si>
  <si>
    <t>Formula Used</t>
  </si>
  <si>
    <t>Q4 Find the Department of Employee ID = E103. Also explain which LOOKUP function is used and why?</t>
  </si>
  <si>
    <t>EmpID</t>
  </si>
  <si>
    <t>Name</t>
  </si>
  <si>
    <t>Department</t>
  </si>
  <si>
    <t>E101</t>
  </si>
  <si>
    <t>IT</t>
  </si>
  <si>
    <t>E102</t>
  </si>
  <si>
    <t>HR</t>
  </si>
  <si>
    <t>E103</t>
  </si>
  <si>
    <t>Roshni</t>
  </si>
  <si>
    <t>Finance</t>
  </si>
  <si>
    <t>E104</t>
  </si>
  <si>
    <t>Sejal</t>
  </si>
  <si>
    <t>Answer:</t>
  </si>
  <si>
    <t xml:space="preserve">Formula Used : </t>
  </si>
  <si>
    <t xml:space="preserve">VLOOKUP is used because the lookup value is in the first column and the required result in 3rd column and we need to search left to right in that particular row </t>
  </si>
  <si>
    <t>Q5 If a salesperson achieves sales of ₹45,000, use the VLOOKUP function to determine the commission rate applicable</t>
  </si>
  <si>
    <t>Sales Amount</t>
  </si>
  <si>
    <t>Commission Rate</t>
  </si>
  <si>
    <t>Employee Name</t>
  </si>
  <si>
    <t>Leaves Taken</t>
  </si>
  <si>
    <t>Leaves Allowed</t>
  </si>
  <si>
    <t>Alex</t>
  </si>
  <si>
    <t>Bob</t>
  </si>
  <si>
    <t>Anna</t>
  </si>
  <si>
    <t>Q6 Write an IF function to check whether an employee has Exceeded their allowed leave balance</t>
  </si>
  <si>
    <t>IF($B28&gt;$C28,"Exceeded","OK")</t>
  </si>
  <si>
    <t>Q7 Find the salary of EmpID = E105 using INDEX-MATCH Function</t>
  </si>
  <si>
    <t>Salary</t>
  </si>
  <si>
    <t>E105</t>
  </si>
  <si>
    <t>E106</t>
  </si>
  <si>
    <t>Result:</t>
  </si>
  <si>
    <t>INDEX($A$4:$B$7,MATCH("E105",$A$4:$A$7,0),2)</t>
  </si>
  <si>
    <t>E303</t>
  </si>
  <si>
    <t>E301</t>
  </si>
  <si>
    <t>XLOOKUP("E303",$A$15:$A$18,$B$15:$B$18,"NO",0,1)</t>
  </si>
  <si>
    <t>Q8 Use the XLOOKUP function to find the Department of the employee with Emp ID = E303</t>
  </si>
  <si>
    <t>VLOOKUP("E103",$A$3:$C$7,3,FALSE)</t>
  </si>
  <si>
    <t>VLOOKUP(45000,$A$16:$B$20,2,TRUE)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</si>
</sst>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1" fillId="0" borderId="0" xfId="0" applyFont="1"/>
    <xf numFmtId="0" fontId="0" fillId="3" borderId="0" xfId="0" applyFill="1" applyAlignment="1">
      <alignment horizontal="center"/>
    </xf>
    <xf numFmtId="0" fontId="0" fillId="3" borderId="0" xfId="0" applyFill="1"/>
    <xf numFmtId="0" fontId="1" fillId="4" borderId="0" xfId="0" applyFont="1" applyFill="1"/>
    <xf numFmtId="0" fontId="0" fillId="4" borderId="0" xfId="0" applyFill="1"/>
    <xf numFmtId="0" fontId="1" fillId="0" borderId="0" xfId="0" applyFont="1" applyFill="1"/>
    <xf numFmtId="0" fontId="0" fillId="0" borderId="0" xfId="0" applyFill="1"/>
    <xf numFmtId="0" fontId="1" fillId="3" borderId="0" xfId="0" applyFont="1" applyFill="1" applyAlignment="1">
      <alignment horizontal="center"/>
    </xf>
    <xf numFmtId="0" fontId="1" fillId="3" borderId="0" xfId="0" applyFont="1" applyFill="1"/>
    <xf numFmtId="0" fontId="0" fillId="4" borderId="0" xfId="0" applyFill="1"/>
    <xf numFmtId="0" fontId="0" fillId="0" borderId="0" xfId="0" applyAlignment="1">
      <alignment horizontal="center"/>
    </xf>
    <xf numFmtId="0" fontId="0" fillId="4" borderId="0" xfId="0" applyFill="1" applyAlignment="1">
      <alignment horizontal="center"/>
    </xf>
    <xf numFmtId="0" fontId="1" fillId="4" borderId="0" xfId="0" applyFont="1" applyFill="1" applyAlignment="1">
      <alignment horizontal="center"/>
    </xf>
    <xf numFmtId="9" fontId="0" fillId="3" borderId="0" xfId="0" applyNumberFormat="1" applyFill="1" applyAlignment="1">
      <alignment horizontal="center"/>
    </xf>
    <xf numFmtId="9" fontId="0" fillId="0" borderId="0" xfId="1" applyFont="1"/>
    <xf numFmtId="9" fontId="0" fillId="4" borderId="0" xfId="1" applyFont="1" applyFill="1" applyAlignment="1">
      <alignment horizontal="center"/>
    </xf>
    <xf numFmtId="0" fontId="0" fillId="0" borderId="0" xfId="0" applyFill="1" applyAlignment="1">
      <alignment horizontal="center"/>
    </xf>
    <xf numFmtId="0" fontId="0" fillId="0" borderId="0" xfId="0"/>
    <xf numFmtId="0" fontId="0" fillId="0" borderId="0" xfId="0"/>
    <xf numFmtId="0" fontId="0" fillId="4" borderId="0" xfId="0" applyFill="1"/>
    <xf numFmtId="0" fontId="0" fillId="2" borderId="0" xfId="0" applyFill="1"/>
    <xf numFmtId="0" fontId="0" fillId="2" borderId="0" xfId="0" applyFill="1" applyAlignment="1"/>
    <xf numFmtId="0" fontId="0" fillId="5" borderId="0" xfId="0" applyFill="1" applyAlignment="1">
      <alignment horizontal="left"/>
    </xf>
    <xf numFmtId="0" fontId="0" fillId="4" borderId="0" xfId="0" applyFill="1" applyAlignme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3B45-C0C7-4AD1-AB6F-D420FC61CD66}">
  <dimension ref="A1:G27"/>
  <sheetViews>
    <sheetView workbookViewId="0">
      <selection sqref="A1:F1"/>
    </sheetView>
  </sheetViews>
  <sheetFormatPr defaultRowHeight="14.4" x14ac:dyDescent="0.3"/>
  <cols>
    <col min="1" max="1" width="12.5546875" customWidth="1"/>
    <col min="3" max="3" width="12.77734375" bestFit="1" customWidth="1"/>
    <col min="4" max="4" width="25" bestFit="1" customWidth="1"/>
    <col min="5" max="5" width="10.88671875" bestFit="1" customWidth="1"/>
    <col min="6" max="6" width="12.77734375" bestFit="1" customWidth="1"/>
    <col min="7" max="7" width="34.109375" bestFit="1" customWidth="1"/>
  </cols>
  <sheetData>
    <row r="1" spans="1:7" x14ac:dyDescent="0.3">
      <c r="A1" s="21" t="s">
        <v>0</v>
      </c>
      <c r="B1" s="21"/>
      <c r="C1" s="21"/>
      <c r="D1" s="21"/>
      <c r="E1" s="21"/>
      <c r="F1" s="21"/>
      <c r="G1" s="7"/>
    </row>
    <row r="3" spans="1:7" x14ac:dyDescent="0.3">
      <c r="A3" s="2" t="s">
        <v>1</v>
      </c>
      <c r="B3" s="2" t="s">
        <v>2</v>
      </c>
      <c r="C3" s="3" t="s">
        <v>8</v>
      </c>
      <c r="D3" s="4" t="s">
        <v>9</v>
      </c>
    </row>
    <row r="4" spans="1:7" x14ac:dyDescent="0.3">
      <c r="A4" s="2" t="s">
        <v>3</v>
      </c>
      <c r="B4" s="2">
        <v>45</v>
      </c>
      <c r="C4" s="3" t="str">
        <f>IF($B4&gt;=40,"Pass","Fail")</f>
        <v>Pass</v>
      </c>
      <c r="D4" s="5" t="s">
        <v>10</v>
      </c>
      <c r="E4" s="6"/>
    </row>
    <row r="5" spans="1:7" x14ac:dyDescent="0.3">
      <c r="A5" s="2" t="s">
        <v>4</v>
      </c>
      <c r="B5" s="2">
        <v>72</v>
      </c>
      <c r="C5" s="3" t="str">
        <f t="shared" ref="C5:C8" si="0">IF($B5&gt;=40,"Pass","Fail")</f>
        <v>Pass</v>
      </c>
      <c r="D5" s="5" t="s">
        <v>11</v>
      </c>
      <c r="E5" s="7"/>
    </row>
    <row r="6" spans="1:7" x14ac:dyDescent="0.3">
      <c r="A6" s="2" t="s">
        <v>5</v>
      </c>
      <c r="B6" s="2">
        <v>55</v>
      </c>
      <c r="C6" s="3" t="str">
        <f t="shared" si="0"/>
        <v>Pass</v>
      </c>
      <c r="D6" s="5" t="s">
        <v>12</v>
      </c>
    </row>
    <row r="7" spans="1:7" x14ac:dyDescent="0.3">
      <c r="A7" s="2" t="s">
        <v>6</v>
      </c>
      <c r="B7" s="2">
        <v>80</v>
      </c>
      <c r="C7" s="3" t="str">
        <f t="shared" si="0"/>
        <v>Pass</v>
      </c>
      <c r="D7" s="5" t="s">
        <v>13</v>
      </c>
    </row>
    <row r="8" spans="1:7" x14ac:dyDescent="0.3">
      <c r="A8" s="2" t="s">
        <v>7</v>
      </c>
      <c r="B8" s="2">
        <v>30</v>
      </c>
      <c r="C8" s="3" t="str">
        <f t="shared" si="0"/>
        <v>Fail</v>
      </c>
      <c r="D8" s="5" t="s">
        <v>14</v>
      </c>
    </row>
    <row r="11" spans="1:7" x14ac:dyDescent="0.3">
      <c r="A11" s="21" t="s">
        <v>26</v>
      </c>
      <c r="B11" s="21"/>
      <c r="C11" s="21"/>
      <c r="D11" s="21"/>
      <c r="E11" s="21"/>
      <c r="F11" s="21"/>
      <c r="G11" s="7"/>
    </row>
    <row r="13" spans="1:7" x14ac:dyDescent="0.3">
      <c r="A13" s="2" t="s">
        <v>15</v>
      </c>
      <c r="B13" s="2" t="s">
        <v>16</v>
      </c>
      <c r="C13" s="2" t="s">
        <v>17</v>
      </c>
      <c r="D13" s="8" t="s">
        <v>22</v>
      </c>
      <c r="E13" s="9" t="s">
        <v>8</v>
      </c>
    </row>
    <row r="14" spans="1:7" x14ac:dyDescent="0.3">
      <c r="A14" s="2" t="s">
        <v>18</v>
      </c>
      <c r="B14" s="2">
        <v>55000</v>
      </c>
      <c r="C14" s="2">
        <v>95</v>
      </c>
      <c r="D14" s="3" t="b">
        <f>AND($B14&gt;40000,$C14&gt;=90)</f>
        <v>1</v>
      </c>
      <c r="E14" s="3" t="str">
        <f>IF($D14=TRUE,"Bonus Given","Not Given")</f>
        <v>Bonus Given</v>
      </c>
      <c r="F14" s="4" t="s">
        <v>23</v>
      </c>
      <c r="G14" s="5" t="s">
        <v>25</v>
      </c>
    </row>
    <row r="15" spans="1:7" x14ac:dyDescent="0.3">
      <c r="A15" s="2" t="s">
        <v>19</v>
      </c>
      <c r="B15" s="2">
        <v>65000</v>
      </c>
      <c r="C15" s="2">
        <v>85</v>
      </c>
      <c r="D15" s="3" t="b">
        <f t="shared" ref="D15:D16" si="1">AND($B15&gt;40000,$C15&gt;=90)</f>
        <v>0</v>
      </c>
      <c r="E15" s="3" t="str">
        <f t="shared" ref="E15:E17" si="2">IF($D15=TRUE,"Bonus Given","Not Given")</f>
        <v>Not Given</v>
      </c>
    </row>
    <row r="16" spans="1:7" x14ac:dyDescent="0.3">
      <c r="A16" s="2" t="s">
        <v>20</v>
      </c>
      <c r="B16" s="2">
        <v>30000</v>
      </c>
      <c r="C16" s="2">
        <v>90</v>
      </c>
      <c r="D16" s="3" t="b">
        <f t="shared" si="1"/>
        <v>0</v>
      </c>
      <c r="E16" s="3" t="str">
        <f t="shared" si="2"/>
        <v>Not Given</v>
      </c>
    </row>
    <row r="17" spans="1:7" x14ac:dyDescent="0.3">
      <c r="A17" s="2" t="s">
        <v>21</v>
      </c>
      <c r="B17" s="2">
        <v>25000</v>
      </c>
      <c r="C17" s="2">
        <v>65</v>
      </c>
      <c r="D17" s="3" t="b">
        <f>AND($B17&gt;40000,$C17&gt;=90)</f>
        <v>0</v>
      </c>
      <c r="E17" s="3" t="str">
        <f t="shared" si="2"/>
        <v>Not Given</v>
      </c>
    </row>
    <row r="18" spans="1:7" x14ac:dyDescent="0.3">
      <c r="C18" s="4" t="s">
        <v>23</v>
      </c>
      <c r="D18" s="5" t="s">
        <v>24</v>
      </c>
      <c r="E18" s="7"/>
    </row>
    <row r="20" spans="1:7" x14ac:dyDescent="0.3">
      <c r="A20" s="21" t="s">
        <v>27</v>
      </c>
      <c r="B20" s="21"/>
      <c r="C20" s="21"/>
      <c r="D20" s="21"/>
      <c r="E20" s="21"/>
      <c r="F20" s="21"/>
      <c r="G20" s="7"/>
    </row>
    <row r="22" spans="1:7" x14ac:dyDescent="0.3">
      <c r="A22" s="2" t="s">
        <v>1</v>
      </c>
      <c r="B22" s="2" t="s">
        <v>2</v>
      </c>
      <c r="C22" s="2" t="s">
        <v>33</v>
      </c>
      <c r="D22" s="1" t="s">
        <v>35</v>
      </c>
    </row>
    <row r="23" spans="1:7" x14ac:dyDescent="0.3">
      <c r="A23" s="2" t="s">
        <v>28</v>
      </c>
      <c r="B23" s="2">
        <v>85</v>
      </c>
      <c r="C23" s="2" t="str">
        <f>IF($B23&gt;=90,"A",IF($B23&gt;=75,"B",IF($B23&gt;=50,"C","FAIL")))</f>
        <v>B</v>
      </c>
      <c r="D23" s="20" t="s">
        <v>34</v>
      </c>
      <c r="E23" s="20"/>
      <c r="F23" s="20"/>
    </row>
    <row r="24" spans="1:7" x14ac:dyDescent="0.3">
      <c r="A24" s="2" t="s">
        <v>29</v>
      </c>
      <c r="B24" s="2">
        <v>96</v>
      </c>
      <c r="C24" s="2" t="str">
        <f t="shared" ref="C24:C27" si="3">IF(B24&gt;=90,"A",IF(B24&gt;=75,"B",IF(B24&gt;=50,"C","FAIL")))</f>
        <v>A</v>
      </c>
    </row>
    <row r="25" spans="1:7" x14ac:dyDescent="0.3">
      <c r="A25" s="2" t="s">
        <v>30</v>
      </c>
      <c r="B25" s="2">
        <v>57</v>
      </c>
      <c r="C25" s="2" t="str">
        <f t="shared" si="3"/>
        <v>C</v>
      </c>
    </row>
    <row r="26" spans="1:7" x14ac:dyDescent="0.3">
      <c r="A26" s="2" t="s">
        <v>31</v>
      </c>
      <c r="B26" s="2">
        <v>92</v>
      </c>
      <c r="C26" s="2" t="str">
        <f t="shared" si="3"/>
        <v>A</v>
      </c>
    </row>
    <row r="27" spans="1:7" x14ac:dyDescent="0.3">
      <c r="A27" s="2" t="s">
        <v>32</v>
      </c>
      <c r="B27" s="2">
        <v>75</v>
      </c>
      <c r="C27" s="2" t="str">
        <f t="shared" si="3"/>
        <v>B</v>
      </c>
    </row>
  </sheetData>
  <mergeCells count="4">
    <mergeCell ref="D23:F23"/>
    <mergeCell ref="A1:F1"/>
    <mergeCell ref="A11:F11"/>
    <mergeCell ref="A20:F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3A3C-AEC3-4027-AC85-A115A8D60944}">
  <dimension ref="A1:N32"/>
  <sheetViews>
    <sheetView workbookViewId="0">
      <selection activeCell="B23" sqref="B23:D23"/>
    </sheetView>
  </sheetViews>
  <sheetFormatPr defaultRowHeight="14.4" x14ac:dyDescent="0.3"/>
  <cols>
    <col min="1" max="1" width="13.77734375" bestFit="1" customWidth="1"/>
    <col min="2" max="2" width="15.109375" bestFit="1" customWidth="1"/>
    <col min="3" max="3" width="13.33203125" bestFit="1" customWidth="1"/>
  </cols>
  <sheetData>
    <row r="1" spans="1:14" x14ac:dyDescent="0.3">
      <c r="A1" s="22" t="s">
        <v>36</v>
      </c>
      <c r="B1" s="22"/>
      <c r="C1" s="22"/>
      <c r="D1" s="22"/>
      <c r="E1" s="22"/>
      <c r="F1" s="22"/>
      <c r="G1" s="22"/>
      <c r="H1" s="22"/>
      <c r="I1" s="22"/>
      <c r="J1" s="22"/>
      <c r="K1" s="22"/>
      <c r="L1" s="22"/>
    </row>
    <row r="3" spans="1:14" x14ac:dyDescent="0.3">
      <c r="A3" s="2" t="s">
        <v>37</v>
      </c>
      <c r="B3" s="2" t="s">
        <v>38</v>
      </c>
      <c r="C3" s="2" t="s">
        <v>39</v>
      </c>
    </row>
    <row r="4" spans="1:14" x14ac:dyDescent="0.3">
      <c r="A4" s="2" t="s">
        <v>40</v>
      </c>
      <c r="B4" s="2" t="s">
        <v>5</v>
      </c>
      <c r="C4" s="2" t="s">
        <v>41</v>
      </c>
    </row>
    <row r="5" spans="1:14" x14ac:dyDescent="0.3">
      <c r="A5" s="2" t="s">
        <v>42</v>
      </c>
      <c r="B5" s="2" t="s">
        <v>3</v>
      </c>
      <c r="C5" s="2" t="s">
        <v>43</v>
      </c>
    </row>
    <row r="6" spans="1:14" x14ac:dyDescent="0.3">
      <c r="A6" s="2" t="s">
        <v>44</v>
      </c>
      <c r="B6" s="2" t="s">
        <v>45</v>
      </c>
      <c r="C6" s="2" t="s">
        <v>46</v>
      </c>
    </row>
    <row r="7" spans="1:14" x14ac:dyDescent="0.3">
      <c r="A7" s="2" t="s">
        <v>47</v>
      </c>
      <c r="B7" s="2" t="s">
        <v>48</v>
      </c>
      <c r="C7" s="2" t="s">
        <v>16</v>
      </c>
    </row>
    <row r="9" spans="1:14" x14ac:dyDescent="0.3">
      <c r="A9" s="13" t="s">
        <v>49</v>
      </c>
      <c r="B9" s="10" t="str">
        <f>VLOOKUP("E103",$A$3:$C$7,3,FALSE)</f>
        <v>Finance</v>
      </c>
    </row>
    <row r="10" spans="1:14" x14ac:dyDescent="0.3">
      <c r="A10" s="13" t="s">
        <v>50</v>
      </c>
      <c r="B10" s="20" t="s">
        <v>73</v>
      </c>
      <c r="C10" s="20"/>
      <c r="D10" s="20"/>
    </row>
    <row r="12" spans="1:14" x14ac:dyDescent="0.3">
      <c r="A12" s="23" t="s">
        <v>51</v>
      </c>
      <c r="B12" s="23"/>
      <c r="C12" s="23"/>
      <c r="D12" s="23"/>
      <c r="E12" s="23"/>
      <c r="F12" s="23"/>
      <c r="G12" s="23"/>
      <c r="H12" s="23"/>
      <c r="I12" s="23"/>
      <c r="J12" s="23"/>
      <c r="K12" s="23"/>
      <c r="L12" s="23"/>
      <c r="M12" s="23"/>
      <c r="N12" s="23"/>
    </row>
    <row r="14" spans="1:14" x14ac:dyDescent="0.3">
      <c r="A14" s="22" t="s">
        <v>52</v>
      </c>
      <c r="B14" s="22"/>
      <c r="C14" s="22"/>
      <c r="D14" s="22"/>
      <c r="E14" s="22"/>
      <c r="F14" s="22"/>
      <c r="G14" s="22"/>
      <c r="H14" s="22"/>
      <c r="I14" s="22"/>
      <c r="J14" s="22"/>
      <c r="K14" s="22"/>
      <c r="L14" s="22"/>
    </row>
    <row r="16" spans="1:14" x14ac:dyDescent="0.3">
      <c r="A16" s="2" t="s">
        <v>53</v>
      </c>
      <c r="B16" s="2" t="s">
        <v>54</v>
      </c>
    </row>
    <row r="17" spans="1:12" x14ac:dyDescent="0.3">
      <c r="A17" s="2">
        <v>0</v>
      </c>
      <c r="B17" s="14">
        <v>0.05</v>
      </c>
    </row>
    <row r="18" spans="1:12" x14ac:dyDescent="0.3">
      <c r="A18" s="2">
        <v>20000</v>
      </c>
      <c r="B18" s="14">
        <v>0.1</v>
      </c>
      <c r="D18" s="15"/>
    </row>
    <row r="19" spans="1:12" x14ac:dyDescent="0.3">
      <c r="A19" s="2">
        <v>50000</v>
      </c>
      <c r="B19" s="14">
        <v>0.15</v>
      </c>
    </row>
    <row r="20" spans="1:12" x14ac:dyDescent="0.3">
      <c r="A20" s="2">
        <v>80000</v>
      </c>
      <c r="B20" s="14">
        <v>0.2</v>
      </c>
    </row>
    <row r="22" spans="1:12" x14ac:dyDescent="0.3">
      <c r="A22" s="13" t="s">
        <v>49</v>
      </c>
      <c r="B22" s="16">
        <f>VLOOKUP(45000,$A$16:$B$20,2,TRUE)</f>
        <v>0.1</v>
      </c>
    </row>
    <row r="23" spans="1:12" x14ac:dyDescent="0.3">
      <c r="A23" s="13" t="s">
        <v>50</v>
      </c>
      <c r="B23" s="20" t="s">
        <v>74</v>
      </c>
      <c r="C23" s="20"/>
      <c r="D23" s="20"/>
    </row>
    <row r="25" spans="1:12" x14ac:dyDescent="0.3">
      <c r="A25" s="22" t="s">
        <v>61</v>
      </c>
      <c r="B25" s="22"/>
      <c r="C25" s="22"/>
      <c r="D25" s="22"/>
      <c r="E25" s="22"/>
      <c r="F25" s="22"/>
      <c r="G25" s="22"/>
      <c r="H25" s="22"/>
      <c r="I25" s="22"/>
      <c r="J25" s="22"/>
      <c r="K25" s="22"/>
      <c r="L25" s="22"/>
    </row>
    <row r="27" spans="1:12" x14ac:dyDescent="0.3">
      <c r="A27" s="2" t="s">
        <v>55</v>
      </c>
      <c r="B27" s="2" t="s">
        <v>56</v>
      </c>
      <c r="C27" s="2" t="s">
        <v>57</v>
      </c>
      <c r="D27" s="2" t="s">
        <v>8</v>
      </c>
    </row>
    <row r="28" spans="1:12" x14ac:dyDescent="0.3">
      <c r="A28" s="2" t="s">
        <v>58</v>
      </c>
      <c r="B28" s="2">
        <v>10</v>
      </c>
      <c r="C28" s="2">
        <v>12</v>
      </c>
      <c r="D28" s="3" t="str">
        <f>IF($B28&gt;$C28,"Exceeded","OK")</f>
        <v>OK</v>
      </c>
    </row>
    <row r="29" spans="1:12" x14ac:dyDescent="0.3">
      <c r="A29" s="2" t="s">
        <v>59</v>
      </c>
      <c r="B29" s="2">
        <v>10</v>
      </c>
      <c r="C29" s="2">
        <v>15</v>
      </c>
      <c r="D29" s="3" t="str">
        <f t="shared" ref="D29:D30" si="0">IF($B29&gt;$C29,"Exceeded","OK")</f>
        <v>OK</v>
      </c>
    </row>
    <row r="30" spans="1:12" x14ac:dyDescent="0.3">
      <c r="A30" s="2" t="s">
        <v>60</v>
      </c>
      <c r="B30" s="2">
        <v>8</v>
      </c>
      <c r="C30" s="2">
        <v>12</v>
      </c>
      <c r="D30" s="3" t="str">
        <f t="shared" si="0"/>
        <v>OK</v>
      </c>
    </row>
    <row r="31" spans="1:12" x14ac:dyDescent="0.3">
      <c r="A31" s="11"/>
      <c r="B31" s="11"/>
      <c r="C31" s="11"/>
    </row>
    <row r="32" spans="1:12" x14ac:dyDescent="0.3">
      <c r="A32" s="13" t="s">
        <v>50</v>
      </c>
      <c r="B32" s="20" t="s">
        <v>62</v>
      </c>
      <c r="C32" s="20"/>
      <c r="D32" s="20"/>
    </row>
  </sheetData>
  <mergeCells count="7">
    <mergeCell ref="B23:D23"/>
    <mergeCell ref="A25:L25"/>
    <mergeCell ref="B32:D32"/>
    <mergeCell ref="A1:L1"/>
    <mergeCell ref="B10:D10"/>
    <mergeCell ref="A12:N12"/>
    <mergeCell ref="A14:L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B2FF7-3D86-42D2-A1D5-3101D0FBB71B}">
  <dimension ref="A1:L21"/>
  <sheetViews>
    <sheetView tabSelected="1" workbookViewId="0">
      <selection activeCell="J18" sqref="J18"/>
    </sheetView>
  </sheetViews>
  <sheetFormatPr defaultRowHeight="14.4" x14ac:dyDescent="0.3"/>
  <cols>
    <col min="1" max="1" width="12.44140625" bestFit="1" customWidth="1"/>
    <col min="2" max="2" width="10.5546875" bestFit="1" customWidth="1"/>
  </cols>
  <sheetData>
    <row r="1" spans="1:12" x14ac:dyDescent="0.3">
      <c r="A1" s="22" t="s">
        <v>63</v>
      </c>
      <c r="B1" s="22"/>
      <c r="C1" s="22"/>
      <c r="D1" s="22"/>
      <c r="E1" s="22"/>
      <c r="F1" s="22"/>
      <c r="G1" s="22"/>
      <c r="H1" s="22"/>
      <c r="I1" s="22"/>
      <c r="J1" s="22"/>
      <c r="K1" s="22"/>
      <c r="L1" s="22"/>
    </row>
    <row r="3" spans="1:12" x14ac:dyDescent="0.3">
      <c r="A3" s="2" t="s">
        <v>37</v>
      </c>
      <c r="B3" s="2" t="s">
        <v>64</v>
      </c>
    </row>
    <row r="4" spans="1:12" x14ac:dyDescent="0.3">
      <c r="A4" s="2" t="s">
        <v>47</v>
      </c>
      <c r="B4" s="2">
        <v>55000</v>
      </c>
    </row>
    <row r="5" spans="1:12" x14ac:dyDescent="0.3">
      <c r="A5" s="2" t="s">
        <v>65</v>
      </c>
      <c r="B5" s="2">
        <v>72000</v>
      </c>
    </row>
    <row r="6" spans="1:12" x14ac:dyDescent="0.3">
      <c r="A6" s="2" t="s">
        <v>66</v>
      </c>
      <c r="B6" s="2">
        <v>62000</v>
      </c>
    </row>
    <row r="7" spans="1:12" x14ac:dyDescent="0.3">
      <c r="A7" s="2" t="s">
        <v>42</v>
      </c>
      <c r="B7" s="2">
        <v>41000</v>
      </c>
    </row>
    <row r="8" spans="1:12" x14ac:dyDescent="0.3">
      <c r="A8" s="17"/>
    </row>
    <row r="9" spans="1:12" x14ac:dyDescent="0.3">
      <c r="A9" s="12" t="s">
        <v>67</v>
      </c>
      <c r="B9">
        <f>INDEX($A$4:$B$7,MATCH("E105",$A$4:$A$7,0),2)</f>
        <v>72000</v>
      </c>
      <c r="E9" s="18"/>
    </row>
    <row r="10" spans="1:12" x14ac:dyDescent="0.3">
      <c r="A10" s="12" t="s">
        <v>23</v>
      </c>
      <c r="B10" s="24" t="s">
        <v>68</v>
      </c>
      <c r="C10" s="24"/>
      <c r="D10" s="24"/>
      <c r="E10" s="24"/>
      <c r="F10" s="24"/>
    </row>
    <row r="12" spans="1:12" x14ac:dyDescent="0.3">
      <c r="A12" s="22" t="s">
        <v>72</v>
      </c>
      <c r="B12" s="22"/>
      <c r="C12" s="22"/>
      <c r="D12" s="22"/>
      <c r="E12" s="22"/>
      <c r="F12" s="22"/>
      <c r="G12" s="22"/>
      <c r="H12" s="22"/>
      <c r="I12" s="22"/>
      <c r="J12" s="22"/>
      <c r="K12" s="22"/>
      <c r="L12" s="22"/>
    </row>
    <row r="14" spans="1:12" x14ac:dyDescent="0.3">
      <c r="A14" s="2" t="s">
        <v>37</v>
      </c>
      <c r="B14" s="2" t="s">
        <v>39</v>
      </c>
    </row>
    <row r="15" spans="1:12" x14ac:dyDescent="0.3">
      <c r="A15" s="2" t="s">
        <v>40</v>
      </c>
      <c r="B15" s="2" t="s">
        <v>43</v>
      </c>
    </row>
    <row r="16" spans="1:12" x14ac:dyDescent="0.3">
      <c r="A16" s="2" t="s">
        <v>69</v>
      </c>
      <c r="B16" s="2" t="s">
        <v>41</v>
      </c>
    </row>
    <row r="17" spans="1:6" x14ac:dyDescent="0.3">
      <c r="A17" s="2" t="s">
        <v>66</v>
      </c>
      <c r="B17" s="2" t="s">
        <v>16</v>
      </c>
    </row>
    <row r="18" spans="1:6" x14ac:dyDescent="0.3">
      <c r="A18" s="2" t="s">
        <v>70</v>
      </c>
      <c r="B18" s="2" t="s">
        <v>46</v>
      </c>
    </row>
    <row r="20" spans="1:6" x14ac:dyDescent="0.3">
      <c r="A20" s="12" t="s">
        <v>67</v>
      </c>
      <c r="B20" s="12" t="str">
        <f>_xlfn.XLOOKUP("E303",$A$15:$A$18,$B$15:$B$18,"NO",0,1)</f>
        <v>IT</v>
      </c>
      <c r="C20" s="19"/>
      <c r="D20" s="19"/>
      <c r="E20" s="19"/>
      <c r="F20" s="19"/>
    </row>
    <row r="21" spans="1:6" x14ac:dyDescent="0.3">
      <c r="A21" s="12" t="s">
        <v>23</v>
      </c>
      <c r="B21" s="24" t="s">
        <v>71</v>
      </c>
      <c r="C21" s="24"/>
      <c r="D21" s="24"/>
      <c r="E21" s="24"/>
      <c r="F21" s="24"/>
    </row>
  </sheetData>
  <mergeCells count="4">
    <mergeCell ref="A1:L1"/>
    <mergeCell ref="B10:F10"/>
    <mergeCell ref="A12:L12"/>
    <mergeCell ref="B21: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Q1,Q2,Q3</vt:lpstr>
      <vt:lpstr>Q4,Q5,Q6</vt:lpstr>
      <vt:lpstr>Q7,Q8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Kaushik</dc:creator>
  <cp:lastModifiedBy>Ansh Kaushik</cp:lastModifiedBy>
  <dcterms:created xsi:type="dcterms:W3CDTF">2025-12-10T06:35:07Z</dcterms:created>
  <dcterms:modified xsi:type="dcterms:W3CDTF">2025-12-10T17:08:48Z</dcterms:modified>
</cp:coreProperties>
</file>