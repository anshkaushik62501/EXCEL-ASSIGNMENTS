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S\"/>
    </mc:Choice>
  </mc:AlternateContent>
  <xr:revisionPtr revIDLastSave="0" documentId="8_{C187FDEF-47FE-4E10-A9B5-7B0C50C9DC73}" xr6:coauthVersionLast="47" xr6:coauthVersionMax="47" xr10:uidLastSave="{00000000-0000-0000-0000-000000000000}"/>
  <bookViews>
    <workbookView xWindow="-108" yWindow="-108" windowWidth="23256" windowHeight="12456" activeTab="2" xr2:uid="{05DDF846-036C-45C1-BCBE-5593D9D0274C}"/>
  </bookViews>
  <sheets>
    <sheet name="ques 1,2,3" sheetId="1" r:id="rId1"/>
    <sheet name="ques 4,5,6" sheetId="2" r:id="rId2"/>
    <sheet name="ques 7,8" sheetId="3" r:id="rId3"/>
  </sheets>
  <calcPr calcId="191029"/>
  <pivotCaches>
    <pivotCache cacheId="3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3" l="1"/>
  <c r="O14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O7" i="2"/>
  <c r="D30" i="1"/>
  <c r="R21" i="1" a="1"/>
  <c r="R21" i="1" s="1"/>
  <c r="E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<sst xmlns="http://schemas.openxmlformats.org/spreadsheetml/2006/main" count="204" uniqueCount="106">
  <si>
    <t>Q1 - Explain the difference between Relative , Absolute and Mixed Cell Referencing.</t>
  </si>
  <si>
    <t>In this excel automatically adjusts  rows and columns. In this excel changes the reference itself when you copy it to the new cell</t>
  </si>
  <si>
    <t xml:space="preserve">1) Relative cell referencing : </t>
  </si>
  <si>
    <t xml:space="preserve"> In this  the reference does not change when you copy it to the new cell . The $ symbol locks both column and row</t>
  </si>
  <si>
    <t xml:space="preserve">2) Absolute cell referencing : </t>
  </si>
  <si>
    <t xml:space="preserve">2) Mixed cell referencing : </t>
  </si>
  <si>
    <t xml:space="preserve"> In this we can lock the reference of either the column or the row . It can be of two types a) column locked    b) row locked</t>
  </si>
  <si>
    <t>for eg: B2= G2+5  and we copy it to B3 then B3=G3+5</t>
  </si>
  <si>
    <t>for eg: B2= $G$2+5  and we copy it to B3 then B3=$G$2+5</t>
  </si>
  <si>
    <t>for eg: B2= $G2+5  and we copy it to B3 then B3=$G3+5</t>
  </si>
  <si>
    <t>Vehicle</t>
  </si>
  <si>
    <t>Price</t>
  </si>
  <si>
    <t>Car</t>
  </si>
  <si>
    <t>Bicycle</t>
  </si>
  <si>
    <t>Auto Rickshaw</t>
  </si>
  <si>
    <t>Q2-Write a formula to calculate the total sales of Car and Bicyle only</t>
  </si>
  <si>
    <t>Answer --&gt; we will caculate total price ( sum) where vehicle is car and bicycle only out of all vehicle</t>
  </si>
  <si>
    <t>Formula is= SUMIF(B13:B15,B13,C13:C15)+SUMIF(B13:B15,B14,C13:C15)</t>
  </si>
  <si>
    <t>the total sales of Car and Bicyle only =</t>
  </si>
  <si>
    <t>Q3-Write a formula to calculate the average sales of items priced above 100 but less than 300</t>
  </si>
  <si>
    <t>Item</t>
  </si>
  <si>
    <t>Sales</t>
  </si>
  <si>
    <t>Item A</t>
  </si>
  <si>
    <t>Item B</t>
  </si>
  <si>
    <t>Item C</t>
  </si>
  <si>
    <t>Formula is= AVERAGEIFS(D24:D26,C24:C26,"&gt;100",C24:C26,"&lt;300")</t>
  </si>
  <si>
    <t>the Average sales =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</si>
  <si>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</si>
  <si>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</si>
  <si>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</si>
  <si>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</si>
  <si>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</si>
  <si>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</si>
  <si>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</si>
  <si>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</si>
  <si>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</si>
  <si>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</si>
  <si>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</si>
  <si>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</si>
  <si>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</si>
  <si>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</si>
  <si>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</si>
  <si>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</si>
  <si>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</si>
  <si>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</si>
  <si>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</si>
  <si>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</si>
  <si>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</si>
  <si>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</si>
  <si>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</si>
  <si>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</si>
  <si>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</si>
  <si>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</si>
  <si>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</si>
  <si>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</si>
  <si>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</si>
  <si>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</si>
  <si>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</si>
  <si>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</si>
  <si>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</si>
  <si>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</si>
  <si>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</si>
  <si>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</si>
  <si>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</si>
  <si>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</si>
  <si>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</si>
  <si>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</si>
  <si>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</si>
  <si>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</si>
  <si>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</si>
  <si>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</si>
  <si>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</si>
  <si>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</si>
  <si>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</si>
  <si>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</si>
  <si>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</si>
  <si>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</si>
  <si>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</si>
  <si>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</si>
  <si>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</si>
  <si>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</si>
  <si>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</si>
  <si>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</si>
  <si>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</si>
  <si>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</si>
  <si>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</si>
  <si>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</si>
  <si>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</si>
  <si>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</si>
  <si>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</si>
  <si>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</si>
  <si>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</si>
  <si>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</si>
  <si>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Question4 --&gt; Count how many customer names are recorded</t>
  </si>
  <si>
    <t>Answer --&gt; COUNTA(B2:B51)</t>
  </si>
  <si>
    <t>Total Customers recorded</t>
  </si>
  <si>
    <t>Question 5 --&gt; Calculate the Total Sales for each row using a formula.</t>
  </si>
  <si>
    <t>Question 6 --&gt; Calculate the total sales of Notebooks in the North region only</t>
  </si>
  <si>
    <t>Question 8 --&gt; Insert a line chart showing daily sales trend.</t>
  </si>
  <si>
    <t>Total Sales</t>
  </si>
  <si>
    <t>Answer --&gt; Column H (using SUMPRODUCT)</t>
  </si>
  <si>
    <t>Answer - SUMIFS(H2:H51,D2:D51,D2,C2:C51,C2)</t>
  </si>
  <si>
    <t>Total Sales =</t>
  </si>
  <si>
    <t>Grand Total</t>
  </si>
  <si>
    <t>total sales by product</t>
  </si>
  <si>
    <t>Question 7 --&gt; Create a column chart showing total sales by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</si>
</sst>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 tint="0.24997711111789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 applyAlignment="1">
      <alignment horizontal="center"/>
    </xf>
    <xf numFmtId="0" fontId="2" fillId="3" borderId="0" xfId="0" applyFont="1" applyFill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0" borderId="1" xfId="0" applyBorder="1"/>
    <xf numFmtId="0" fontId="0" fillId="2" borderId="0" xfId="0" applyFill="1"/>
    <xf numFmtId="0" fontId="0" fillId="5" borderId="0" xfId="0" applyFill="1"/>
    <xf numFmtId="0" fontId="0" fillId="5" borderId="0" xfId="0" applyFill="1"/>
    <xf numFmtId="0" fontId="0" fillId="6" borderId="1" xfId="0" applyFill="1" applyBorder="1"/>
    <xf numFmtId="0" fontId="0" fillId="0" borderId="0" xfId="0" applyFill="1" applyAlignment="1">
      <alignment horizontal="left"/>
    </xf>
    <xf numFmtId="0" fontId="0" fillId="0" borderId="0" xfId="0" applyFill="1"/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horizontal="right" wrapText="1"/>
    </xf>
    <xf numFmtId="0" fontId="5" fillId="0" borderId="2" xfId="0" applyFont="1" applyBorder="1" applyAlignment="1">
      <alignment wrapText="1"/>
    </xf>
    <xf numFmtId="0" fontId="0" fillId="2" borderId="0" xfId="0" applyFill="1" applyAlignment="1">
      <alignment horizontal="left" vertical="center" indent="1"/>
    </xf>
    <xf numFmtId="0" fontId="0" fillId="3" borderId="0" xfId="0" applyFill="1" applyAlignment="1">
      <alignment horizontal="left" indent="1"/>
    </xf>
    <xf numFmtId="0" fontId="1" fillId="3" borderId="0" xfId="0" applyFont="1" applyFill="1"/>
    <xf numFmtId="14" fontId="5" fillId="0" borderId="3" xfId="0" applyNumberFormat="1" applyFont="1" applyBorder="1" applyAlignment="1">
      <alignment horizontal="right" wrapText="1"/>
    </xf>
    <xf numFmtId="0" fontId="0" fillId="3" borderId="1" xfId="0" applyFill="1" applyBorder="1"/>
    <xf numFmtId="0" fontId="0" fillId="7" borderId="1" xfId="0" applyFill="1" applyBorder="1"/>
    <xf numFmtId="0" fontId="6" fillId="7" borderId="0" xfId="0" applyFont="1" applyFill="1" applyAlignment="1">
      <alignment horizontal="left"/>
    </xf>
    <xf numFmtId="0" fontId="0" fillId="0" borderId="0" xfId="0" applyFill="1" applyBorder="1"/>
    <xf numFmtId="0" fontId="6" fillId="7" borderId="0" xfId="0" applyFont="1" applyFill="1" applyAlignment="1">
      <alignment horizontal="left"/>
    </xf>
    <xf numFmtId="0" fontId="0" fillId="0" borderId="0" xfId="0" pivotButton="1"/>
    <xf numFmtId="0" fontId="0" fillId="0" borderId="0" xfId="0" applyNumberFormat="1"/>
    <xf numFmtId="0" fontId="1" fillId="8" borderId="1" xfId="0" applyFont="1" applyFill="1" applyBorder="1" applyAlignment="1">
      <alignment horizontal="left"/>
    </xf>
    <xf numFmtId="0" fontId="1" fillId="8" borderId="1" xfId="0" applyFont="1" applyFill="1" applyBorder="1"/>
    <xf numFmtId="0" fontId="0" fillId="0" borderId="0" xfId="0" applyFill="1" applyAlignment="1">
      <alignment horizontal="left" vertical="center" indent="1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1.xlsx]ques 7,8!PivotTable29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358705161854769E-2"/>
          <c:y val="0.14249781277340332"/>
          <c:w val="0.87764129483814524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 7,8'!$B$3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 7,8'!$A$4:$A$8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'ques 7,8'!$B$4:$B$8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8-4C3A-92C1-223E85F85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138383"/>
        <c:axId val="443140783"/>
      </c:barChart>
      <c:catAx>
        <c:axId val="44313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140783"/>
        <c:crosses val="autoZero"/>
        <c:auto val="1"/>
        <c:lblAlgn val="ctr"/>
        <c:lblOffset val="100"/>
        <c:noMultiLvlLbl val="0"/>
      </c:catAx>
      <c:valAx>
        <c:axId val="44314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13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Daily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205846661983015E-2"/>
          <c:y val="0.11615740740740743"/>
          <c:w val="0.89048787824695719"/>
          <c:h val="0.5986931321084864"/>
        </c:manualLayout>
      </c:layout>
      <c:lineChart>
        <c:grouping val="standard"/>
        <c:varyColors val="0"/>
        <c:ser>
          <c:idx val="0"/>
          <c:order val="0"/>
          <c:tx>
            <c:strRef>
              <c:f>'ques 4,5,6'!$H$1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'ques 4,5,6'!$G$2:$G$51</c:f>
              <c:numCache>
                <c:formatCode>m/d/yyyy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'ques 4,5,6'!$H$2:$H$51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E1-4C03-9449-50A07B92B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364767"/>
        <c:axId val="651361407"/>
      </c:lineChart>
      <c:dateAx>
        <c:axId val="651364767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ORDER</a:t>
                </a:r>
                <a:r>
                  <a:rPr lang="en-IN" baseline="0"/>
                  <a:t> DATE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361407"/>
        <c:crosses val="autoZero"/>
        <c:auto val="0"/>
        <c:lblOffset val="100"/>
        <c:baseTimeUnit val="days"/>
        <c:majorUnit val="7"/>
      </c:dateAx>
      <c:valAx>
        <c:axId val="65136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DAILY</a:t>
                </a:r>
                <a:r>
                  <a:rPr lang="en-IN" baseline="0"/>
                  <a:t> SALES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"/>
              <c:y val="0.321094342373869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36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1</xdr:row>
      <xdr:rowOff>121920</xdr:rowOff>
    </xdr:from>
    <xdr:to>
      <xdr:col>10</xdr:col>
      <xdr:colOff>327660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DA28DC-B97A-0DFE-A7DE-90F4E5BF8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373380</xdr:colOff>
      <xdr:row>21</xdr:row>
      <xdr:rowOff>160020</xdr:rowOff>
    </xdr:from>
    <xdr:to>
      <xdr:col>11</xdr:col>
      <xdr:colOff>160020</xdr:colOff>
      <xdr:row>36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52B5AC-5A4D-4CCC-A8B7-A3FECE6845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" refreshedDate="45995.73116516204" createdVersion="8" refreshedVersion="8" minRefreshableVersion="3" recordCount="50" xr:uid="{EF548AD3-F51F-4FBC-A12F-7014C69FF987}">
  <cacheSource type="worksheet">
    <worksheetSource ref="A1:H51" sheet="ques 4,5,6"/>
  </cacheSource>
  <cacheFields count="8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14">
      <sharedItems containsSemiMixedTypes="0" containsNonDate="0" containsDate="1" containsString="0" minDate="2024-01-05T00:00:00" maxDate="2024-03-09T00:00:00"/>
    </cacheField>
    <cacheField name="Total Sales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n v="10"/>
    <n v="50"/>
    <d v="2024-01-05T00:00:00"/>
    <n v="500"/>
  </r>
  <r>
    <n v="1002"/>
    <s v="Neha Verma"/>
    <s v="South"/>
    <x v="1"/>
    <n v="20"/>
    <n v="10"/>
    <d v="2024-01-06T00:00:00"/>
    <n v="200"/>
  </r>
  <r>
    <n v="1003"/>
    <s v="Rahul Singh"/>
    <s v="East"/>
    <x v="2"/>
    <n v="15"/>
    <n v="25"/>
    <d v="2024-01-07T00:00:00"/>
    <n v="375"/>
  </r>
  <r>
    <n v="1004"/>
    <s v="Pooja Mehta"/>
    <s v="West"/>
    <x v="0"/>
    <n v="5"/>
    <n v="50"/>
    <d v="2024-01-08T00:00:00"/>
    <n v="250"/>
  </r>
  <r>
    <n v="1005"/>
    <s v="Ankit Jain"/>
    <s v="North"/>
    <x v="3"/>
    <n v="30"/>
    <n v="5"/>
    <d v="2024-01-10T00:00:00"/>
    <n v="150"/>
  </r>
  <r>
    <n v="1006"/>
    <s v="Sneha Patel"/>
    <s v="South"/>
    <x v="0"/>
    <n v="12"/>
    <n v="50"/>
    <d v="2024-01-11T00:00:00"/>
    <n v="600"/>
  </r>
  <r>
    <n v="1007"/>
    <s v="Vikas Gupta"/>
    <s v="East"/>
    <x v="4"/>
    <n v="25"/>
    <n v="8"/>
    <d v="2024-01-13T00:00:00"/>
    <n v="200"/>
  </r>
  <r>
    <n v="1008"/>
    <s v="Meera Nair"/>
    <s v="West"/>
    <x v="1"/>
    <n v="18"/>
    <n v="10"/>
    <d v="2024-01-15T00:00:00"/>
    <n v="180"/>
  </r>
  <r>
    <n v="1009"/>
    <s v="Anjali Rao"/>
    <s v="North"/>
    <x v="2"/>
    <n v="22"/>
    <n v="25"/>
    <d v="2024-01-17T00:00:00"/>
    <n v="550"/>
  </r>
  <r>
    <n v="1010"/>
    <s v="Manoj Das"/>
    <s v="South"/>
    <x v="0"/>
    <n v="8"/>
    <n v="50"/>
    <d v="2024-01-18T00:00:00"/>
    <n v="400"/>
  </r>
  <r>
    <n v="1011"/>
    <s v="Ritika Sen"/>
    <s v="East"/>
    <x v="3"/>
    <n v="40"/>
    <n v="5"/>
    <d v="2024-01-19T00:00:00"/>
    <n v="200"/>
  </r>
  <r>
    <n v="1012"/>
    <s v="Karan Malhotra"/>
    <s v="West"/>
    <x v="4"/>
    <n v="35"/>
    <n v="8"/>
    <d v="2024-01-20T00:00:00"/>
    <n v="280"/>
  </r>
  <r>
    <n v="1013"/>
    <s v="Aryan Joshi"/>
    <s v="North"/>
    <x v="0"/>
    <n v="14"/>
    <n v="50"/>
    <d v="2024-01-22T00:00:00"/>
    <n v="700"/>
  </r>
  <r>
    <n v="1014"/>
    <s v="Divya Kapoor"/>
    <s v="South"/>
    <x v="1"/>
    <n v="28"/>
    <n v="10"/>
    <d v="2024-01-23T00:00:00"/>
    <n v="280"/>
  </r>
  <r>
    <n v="1015"/>
    <s v="Sahil Arora"/>
    <s v="East"/>
    <x v="2"/>
    <n v="12"/>
    <n v="25"/>
    <d v="2024-01-24T00:00:00"/>
    <n v="300"/>
  </r>
  <r>
    <n v="1016"/>
    <s v="Muskan Jain"/>
    <s v="West"/>
    <x v="3"/>
    <n v="25"/>
    <n v="5"/>
    <d v="2024-01-26T00:00:00"/>
    <n v="125"/>
  </r>
  <r>
    <n v="1017"/>
    <s v="Rohan Gupta"/>
    <s v="North"/>
    <x v="4"/>
    <n v="20"/>
    <n v="8"/>
    <d v="2024-01-28T00:00:00"/>
    <n v="160"/>
  </r>
  <r>
    <n v="1018"/>
    <s v="Nidhi Sharma"/>
    <s v="South"/>
    <x v="0"/>
    <n v="10"/>
    <n v="50"/>
    <d v="2024-01-29T00:00:00"/>
    <n v="500"/>
  </r>
  <r>
    <n v="1019"/>
    <s v="Tarun Verma"/>
    <s v="East"/>
    <x v="1"/>
    <n v="15"/>
    <n v="10"/>
    <d v="2024-01-30T00:00:00"/>
    <n v="150"/>
  </r>
  <r>
    <n v="1020"/>
    <s v="Simran Kaur"/>
    <s v="West"/>
    <x v="2"/>
    <n v="18"/>
    <n v="25"/>
    <d v="2024-02-01T00:00:00"/>
    <n v="450"/>
  </r>
  <r>
    <n v="1021"/>
    <s v="Deepak Rao"/>
    <s v="North"/>
    <x v="0"/>
    <n v="9"/>
    <n v="50"/>
    <d v="2024-02-02T00:00:00"/>
    <n v="450"/>
  </r>
  <r>
    <n v="1022"/>
    <s v="Payal Mehta"/>
    <s v="South"/>
    <x v="3"/>
    <n v="35"/>
    <n v="5"/>
    <d v="2024-02-03T00:00:00"/>
    <n v="175"/>
  </r>
  <r>
    <n v="1023"/>
    <s v="Aditya Singh"/>
    <s v="East"/>
    <x v="4"/>
    <n v="30"/>
    <n v="8"/>
    <d v="2024-02-04T00:00:00"/>
    <n v="240"/>
  </r>
  <r>
    <n v="1024"/>
    <s v="Shreya Nair"/>
    <s v="West"/>
    <x v="0"/>
    <n v="11"/>
    <n v="50"/>
    <d v="2024-02-06T00:00:00"/>
    <n v="550"/>
  </r>
  <r>
    <n v="1025"/>
    <s v="Sanjay Kumar"/>
    <s v="North"/>
    <x v="1"/>
    <n v="14"/>
    <n v="10"/>
    <d v="2024-02-07T00:00:00"/>
    <n v="140"/>
  </r>
  <r>
    <n v="1026"/>
    <s v="Aarti Sharma"/>
    <s v="South"/>
    <x v="2"/>
    <n v="16"/>
    <n v="25"/>
    <d v="2024-02-08T00:00:00"/>
    <n v="400"/>
  </r>
  <r>
    <n v="1027"/>
    <s v="Rajesh Patel"/>
    <s v="East"/>
    <x v="3"/>
    <n v="22"/>
    <n v="5"/>
    <d v="2024-02-09T00:00:00"/>
    <n v="110"/>
  </r>
  <r>
    <n v="1028"/>
    <s v="Preeti Joshi"/>
    <s v="West"/>
    <x v="4"/>
    <n v="27"/>
    <n v="8"/>
    <d v="2024-02-10T00:00:00"/>
    <n v="216"/>
  </r>
  <r>
    <n v="1029"/>
    <s v="Anurag Mishra"/>
    <s v="North"/>
    <x v="0"/>
    <n v="13"/>
    <n v="50"/>
    <d v="2024-02-12T00:00:00"/>
    <n v="650"/>
  </r>
  <r>
    <n v="1030"/>
    <s v="Sanya Kapoor"/>
    <s v="South"/>
    <x v="1"/>
    <n v="32"/>
    <n v="10"/>
    <d v="2024-02-13T00:00:00"/>
    <n v="320"/>
  </r>
  <r>
    <n v="1031"/>
    <s v="Harsh Yadav"/>
    <s v="East"/>
    <x v="2"/>
    <n v="10"/>
    <n v="25"/>
    <d v="2024-02-14T00:00:00"/>
    <n v="250"/>
  </r>
  <r>
    <n v="1032"/>
    <s v="Kajal Rani"/>
    <s v="West"/>
    <x v="3"/>
    <n v="18"/>
    <n v="5"/>
    <d v="2024-02-16T00:00:00"/>
    <n v="90"/>
  </r>
  <r>
    <n v="1033"/>
    <s v="Varun Sharma"/>
    <s v="North"/>
    <x v="4"/>
    <n v="22"/>
    <n v="8"/>
    <d v="2024-02-17T00:00:00"/>
    <n v="176"/>
  </r>
  <r>
    <n v="1034"/>
    <s v="Swati Arora"/>
    <s v="South"/>
    <x v="0"/>
    <n v="17"/>
    <n v="50"/>
    <d v="2024-02-18T00:00:00"/>
    <n v="850"/>
  </r>
  <r>
    <n v="1035"/>
    <s v="Akhil Jain"/>
    <s v="East"/>
    <x v="1"/>
    <n v="19"/>
    <n v="10"/>
    <d v="2024-02-19T00:00:00"/>
    <n v="190"/>
  </r>
  <r>
    <n v="1036"/>
    <s v="Priyanka Das"/>
    <s v="West"/>
    <x v="2"/>
    <n v="15"/>
    <n v="25"/>
    <d v="2024-02-21T00:00:00"/>
    <n v="375"/>
  </r>
  <r>
    <n v="1037"/>
    <s v="Ravi Nair"/>
    <s v="North"/>
    <x v="3"/>
    <n v="28"/>
    <n v="5"/>
    <d v="2024-02-22T00:00:00"/>
    <n v="140"/>
  </r>
  <r>
    <n v="1038"/>
    <s v="Komal Singh"/>
    <s v="South"/>
    <x v="4"/>
    <n v="24"/>
    <n v="8"/>
    <d v="2024-02-23T00:00:00"/>
    <n v="192"/>
  </r>
  <r>
    <n v="1039"/>
    <s v="Ayesha Khan"/>
    <s v="East"/>
    <x v="0"/>
    <n v="16"/>
    <n v="50"/>
    <d v="2024-02-25T00:00:00"/>
    <n v="800"/>
  </r>
  <r>
    <n v="1040"/>
    <s v="Arjun Mehta"/>
    <s v="West"/>
    <x v="1"/>
    <n v="27"/>
    <n v="10"/>
    <d v="2024-02-26T00:00:00"/>
    <n v="270"/>
  </r>
  <r>
    <n v="1041"/>
    <s v="Sonali Gupta"/>
    <s v="North"/>
    <x v="2"/>
    <n v="21"/>
    <n v="25"/>
    <d v="2024-02-27T00:00:00"/>
    <n v="525"/>
  </r>
  <r>
    <n v="1042"/>
    <s v="Neeraj Kapoor"/>
    <s v="South"/>
    <x v="3"/>
    <n v="30"/>
    <n v="5"/>
    <d v="2024-02-28T00:00:00"/>
    <n v="150"/>
  </r>
  <r>
    <n v="1043"/>
    <s v="Shruti Sharma"/>
    <s v="East"/>
    <x v="4"/>
    <n v="26"/>
    <n v="8"/>
    <d v="2024-03-01T00:00:00"/>
    <n v="208"/>
  </r>
  <r>
    <n v="1044"/>
    <s v="Yash Arora"/>
    <s v="West"/>
    <x v="0"/>
    <n v="14"/>
    <n v="50"/>
    <d v="2024-03-02T00:00:00"/>
    <n v="700"/>
  </r>
  <r>
    <n v="1045"/>
    <s v="Manish Das"/>
    <s v="North"/>
    <x v="1"/>
    <n v="20"/>
    <n v="10"/>
    <d v="2024-03-03T00:00:00"/>
    <n v="200"/>
  </r>
  <r>
    <n v="1046"/>
    <s v="Rupal Nair"/>
    <s v="South"/>
    <x v="2"/>
    <n v="17"/>
    <n v="25"/>
    <d v="2024-03-04T00:00:00"/>
    <n v="425"/>
  </r>
  <r>
    <n v="1047"/>
    <s v="Sonia Verma"/>
    <s v="East"/>
    <x v="3"/>
    <n v="19"/>
    <n v="5"/>
    <d v="2024-03-05T00:00:00"/>
    <n v="95"/>
  </r>
  <r>
    <n v="1048"/>
    <s v="Kunal Singh"/>
    <s v="West"/>
    <x v="4"/>
    <n v="32"/>
    <n v="8"/>
    <d v="2024-03-06T00:00:00"/>
    <n v="256"/>
  </r>
  <r>
    <n v="1049"/>
    <s v="Ritika Jain"/>
    <s v="North"/>
    <x v="0"/>
    <n v="12"/>
    <n v="50"/>
    <d v="2024-03-07T00:00:00"/>
    <n v="600"/>
  </r>
  <r>
    <n v="1050"/>
    <s v="Vivek Malhotra"/>
    <s v="South"/>
    <x v="1"/>
    <n v="25"/>
    <n v="10"/>
    <d v="2024-03-08T00:00:00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DF349-8C7F-4070-BA63-ACEF69B93ABA}" name="PivotTable29" cacheId="3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8" firstHeaderRow="1" firstDataRow="1" firstDataCol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total sales by product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3D33-6620-4CB2-BD0D-6C41EB186E89}">
  <dimension ref="A1:R30"/>
  <sheetViews>
    <sheetView topLeftCell="A10" workbookViewId="0">
      <selection activeCell="J21" sqref="J21"/>
    </sheetView>
  </sheetViews>
  <sheetFormatPr defaultRowHeight="14.4" x14ac:dyDescent="0.3"/>
  <cols>
    <col min="2" max="2" width="12.21875" customWidth="1"/>
  </cols>
  <sheetData>
    <row r="1" spans="1:15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15" x14ac:dyDescent="0.3">
      <c r="A2" s="2" t="s">
        <v>2</v>
      </c>
      <c r="B2" s="2"/>
      <c r="C2" s="2"/>
      <c r="D2" s="3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3">
      <c r="D3" s="4" t="s">
        <v>7</v>
      </c>
      <c r="E3" s="4"/>
      <c r="F3" s="4"/>
      <c r="G3" s="4"/>
      <c r="H3" s="4"/>
    </row>
    <row r="5" spans="1:15" x14ac:dyDescent="0.3">
      <c r="A5" s="2" t="s">
        <v>4</v>
      </c>
      <c r="B5" s="2"/>
      <c r="C5" s="2"/>
      <c r="D5" s="3" t="s">
        <v>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3">
      <c r="D6" s="4" t="s">
        <v>8</v>
      </c>
      <c r="E6" s="4"/>
      <c r="F6" s="4"/>
      <c r="G6" s="4"/>
      <c r="H6" s="4"/>
      <c r="I6" s="4"/>
    </row>
    <row r="8" spans="1:15" x14ac:dyDescent="0.3">
      <c r="A8" s="2" t="s">
        <v>5</v>
      </c>
      <c r="B8" s="2"/>
      <c r="C8" s="2"/>
      <c r="D8" s="3" t="s">
        <v>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3">
      <c r="D9" s="4" t="s">
        <v>9</v>
      </c>
      <c r="E9" s="4"/>
      <c r="F9" s="4"/>
      <c r="G9" s="4"/>
      <c r="H9" s="4"/>
      <c r="I9" s="4"/>
    </row>
    <row r="11" spans="1:15" x14ac:dyDescent="0.3">
      <c r="A11" s="6" t="s">
        <v>15</v>
      </c>
      <c r="B11" s="6"/>
      <c r="C11" s="6"/>
      <c r="D11" s="6"/>
      <c r="E11" s="6"/>
      <c r="F11" s="6"/>
      <c r="G11" s="6"/>
      <c r="H11" s="6"/>
    </row>
    <row r="12" spans="1:15" x14ac:dyDescent="0.3">
      <c r="B12" s="5" t="s">
        <v>10</v>
      </c>
      <c r="C12" s="5" t="s">
        <v>11</v>
      </c>
    </row>
    <row r="13" spans="1:15" x14ac:dyDescent="0.3">
      <c r="B13" s="5" t="s">
        <v>12</v>
      </c>
      <c r="C13" s="5">
        <v>500000</v>
      </c>
    </row>
    <row r="14" spans="1:15" x14ac:dyDescent="0.3">
      <c r="B14" s="5" t="s">
        <v>13</v>
      </c>
      <c r="C14" s="5">
        <v>10500</v>
      </c>
    </row>
    <row r="15" spans="1:15" x14ac:dyDescent="0.3">
      <c r="B15" s="5" t="s">
        <v>14</v>
      </c>
      <c r="C15" s="5">
        <v>25000</v>
      </c>
    </row>
    <row r="17" spans="1:18" x14ac:dyDescent="0.3">
      <c r="A17" s="3" t="s">
        <v>16</v>
      </c>
      <c r="B17" s="3"/>
      <c r="C17" s="3"/>
      <c r="D17" s="3"/>
      <c r="E17" s="3"/>
      <c r="F17" s="3"/>
      <c r="G17" s="3"/>
      <c r="H17" s="3"/>
      <c r="I17" s="3"/>
    </row>
    <row r="18" spans="1:18" x14ac:dyDescent="0.3">
      <c r="B18" s="4" t="s">
        <v>17</v>
      </c>
      <c r="C18" s="4"/>
      <c r="D18" s="4"/>
      <c r="E18" s="4"/>
      <c r="F18" s="4"/>
      <c r="G18" s="4"/>
      <c r="H18" s="4"/>
    </row>
    <row r="19" spans="1:18" x14ac:dyDescent="0.3">
      <c r="B19" s="7" t="s">
        <v>18</v>
      </c>
      <c r="C19" s="7"/>
      <c r="D19" s="7"/>
      <c r="E19" s="8">
        <f xml:space="preserve"> SUMIF(B13:B15,B13,C13:C15)+SUMIF(B13:B15,B14,C13:C15)</f>
        <v>510500</v>
      </c>
    </row>
    <row r="21" spans="1:18" x14ac:dyDescent="0.3">
      <c r="R21" cm="1">
        <f t="array" ref="R21:R22">Q26:Q27</f>
        <v>0</v>
      </c>
    </row>
    <row r="22" spans="1:18" x14ac:dyDescent="0.3">
      <c r="A22" s="6" t="s">
        <v>19</v>
      </c>
      <c r="B22" s="6"/>
      <c r="C22" s="6"/>
      <c r="D22" s="6"/>
      <c r="E22" s="6"/>
      <c r="F22" s="6"/>
      <c r="G22" s="6"/>
      <c r="H22" s="6"/>
      <c r="R22">
        <v>0</v>
      </c>
    </row>
    <row r="23" spans="1:18" x14ac:dyDescent="0.3">
      <c r="B23" s="9" t="s">
        <v>20</v>
      </c>
      <c r="C23" s="9" t="s">
        <v>11</v>
      </c>
      <c r="D23" s="9" t="s">
        <v>21</v>
      </c>
    </row>
    <row r="24" spans="1:18" x14ac:dyDescent="0.3">
      <c r="B24" s="5" t="s">
        <v>22</v>
      </c>
      <c r="C24" s="5">
        <v>90</v>
      </c>
      <c r="D24" s="5">
        <v>1000</v>
      </c>
    </row>
    <row r="25" spans="1:18" x14ac:dyDescent="0.3">
      <c r="B25" s="5" t="s">
        <v>23</v>
      </c>
      <c r="C25" s="5">
        <v>150</v>
      </c>
      <c r="D25" s="5">
        <v>1200</v>
      </c>
    </row>
    <row r="26" spans="1:18" x14ac:dyDescent="0.3">
      <c r="B26" s="5" t="s">
        <v>24</v>
      </c>
      <c r="C26" s="5">
        <v>250</v>
      </c>
      <c r="D26" s="5">
        <v>1500</v>
      </c>
    </row>
    <row r="28" spans="1:18" x14ac:dyDescent="0.3">
      <c r="A28" s="10"/>
      <c r="B28" s="10"/>
      <c r="C28" s="10"/>
      <c r="D28" s="10"/>
      <c r="E28" s="10"/>
      <c r="F28" s="10"/>
      <c r="G28" s="10"/>
      <c r="H28" s="10"/>
      <c r="I28" s="10"/>
    </row>
    <row r="29" spans="1:18" x14ac:dyDescent="0.3">
      <c r="B29" s="4" t="s">
        <v>25</v>
      </c>
      <c r="C29" s="4"/>
      <c r="D29" s="4"/>
      <c r="E29" s="4"/>
      <c r="F29" s="4"/>
      <c r="G29" s="4"/>
      <c r="H29" s="4"/>
    </row>
    <row r="30" spans="1:18" x14ac:dyDescent="0.3">
      <c r="B30" s="7" t="s">
        <v>26</v>
      </c>
      <c r="C30" s="7"/>
      <c r="D30" s="8">
        <f xml:space="preserve"> AVERAGEIFS(D24:D26,C24:C26,"&gt;100",C24:C26,"&lt;300")</f>
        <v>1350</v>
      </c>
      <c r="E30" s="11"/>
    </row>
  </sheetData>
  <mergeCells count="17">
    <mergeCell ref="A22:H22"/>
    <mergeCell ref="B29:H29"/>
    <mergeCell ref="B30:C30"/>
    <mergeCell ref="D9:I9"/>
    <mergeCell ref="D6:I6"/>
    <mergeCell ref="A11:H11"/>
    <mergeCell ref="A17:I17"/>
    <mergeCell ref="B18:H18"/>
    <mergeCell ref="B19:D19"/>
    <mergeCell ref="A1:H1"/>
    <mergeCell ref="A2:C2"/>
    <mergeCell ref="D2:O2"/>
    <mergeCell ref="D3:H3"/>
    <mergeCell ref="A5:C5"/>
    <mergeCell ref="D5:O5"/>
    <mergeCell ref="A8:C8"/>
    <mergeCell ref="D8:O8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8EB73-145B-40B7-9390-3FCC17485CFA}">
  <dimension ref="A1:T51"/>
  <sheetViews>
    <sheetView topLeftCell="A6" workbookViewId="0">
      <selection activeCell="L17" sqref="L17"/>
    </sheetView>
  </sheetViews>
  <sheetFormatPr defaultRowHeight="14.4" x14ac:dyDescent="0.3"/>
  <cols>
    <col min="2" max="2" width="14.21875" bestFit="1" customWidth="1"/>
    <col min="4" max="4" width="12.109375" customWidth="1"/>
    <col min="5" max="5" width="12" customWidth="1"/>
    <col min="6" max="6" width="12.6640625" customWidth="1"/>
    <col min="7" max="7" width="16.109375" customWidth="1"/>
    <col min="8" max="8" width="12.77734375" customWidth="1"/>
    <col min="14" max="14" width="10.6640625" customWidth="1"/>
  </cols>
  <sheetData>
    <row r="1" spans="1:20" ht="15" thickBot="1" x14ac:dyDescent="0.35">
      <c r="A1" s="12" t="s">
        <v>27</v>
      </c>
      <c r="B1" s="12" t="s">
        <v>28</v>
      </c>
      <c r="C1" s="12" t="s">
        <v>29</v>
      </c>
      <c r="D1" s="12" t="s">
        <v>30</v>
      </c>
      <c r="E1" s="12" t="s">
        <v>31</v>
      </c>
      <c r="F1" s="12" t="s">
        <v>32</v>
      </c>
      <c r="G1" s="12" t="s">
        <v>33</v>
      </c>
      <c r="H1" s="17" t="s">
        <v>99</v>
      </c>
    </row>
    <row r="2" spans="1:20" ht="15" thickBot="1" x14ac:dyDescent="0.35">
      <c r="A2" s="13">
        <v>1001</v>
      </c>
      <c r="B2" s="14" t="s">
        <v>34</v>
      </c>
      <c r="C2" s="14" t="s">
        <v>35</v>
      </c>
      <c r="D2" s="14" t="s">
        <v>36</v>
      </c>
      <c r="E2" s="13">
        <v>10</v>
      </c>
      <c r="F2" s="13">
        <v>50</v>
      </c>
      <c r="G2" s="18">
        <v>45296</v>
      </c>
      <c r="H2" s="19">
        <f>SUMPRODUCT(E2,F2)</f>
        <v>500</v>
      </c>
    </row>
    <row r="3" spans="1:20" ht="15" thickBot="1" x14ac:dyDescent="0.35">
      <c r="A3" s="13">
        <v>1002</v>
      </c>
      <c r="B3" s="14" t="s">
        <v>37</v>
      </c>
      <c r="C3" s="14" t="s">
        <v>38</v>
      </c>
      <c r="D3" s="14" t="s">
        <v>39</v>
      </c>
      <c r="E3" s="13">
        <v>20</v>
      </c>
      <c r="F3" s="13">
        <v>10</v>
      </c>
      <c r="G3" s="18">
        <v>45297</v>
      </c>
      <c r="H3" s="19">
        <f t="shared" ref="H3:H51" si="0">SUMPRODUCT(E3,F3)</f>
        <v>200</v>
      </c>
      <c r="M3" s="15" t="s">
        <v>93</v>
      </c>
      <c r="N3" s="15"/>
      <c r="O3" s="15"/>
      <c r="P3" s="15"/>
      <c r="Q3" s="15"/>
      <c r="R3" s="15"/>
      <c r="S3" s="15"/>
      <c r="T3" s="15"/>
    </row>
    <row r="4" spans="1:20" ht="15" customHeight="1" thickBot="1" x14ac:dyDescent="0.35">
      <c r="A4" s="13">
        <v>1003</v>
      </c>
      <c r="B4" s="14" t="s">
        <v>40</v>
      </c>
      <c r="C4" s="14" t="s">
        <v>41</v>
      </c>
      <c r="D4" s="14" t="s">
        <v>42</v>
      </c>
      <c r="E4" s="13">
        <v>15</v>
      </c>
      <c r="F4" s="13">
        <v>25</v>
      </c>
      <c r="G4" s="18">
        <v>45298</v>
      </c>
      <c r="H4" s="19">
        <f t="shared" si="0"/>
        <v>375</v>
      </c>
    </row>
    <row r="5" spans="1:20" ht="15" customHeight="1" thickBot="1" x14ac:dyDescent="0.35">
      <c r="A5" s="13">
        <v>1004</v>
      </c>
      <c r="B5" s="14" t="s">
        <v>43</v>
      </c>
      <c r="C5" s="14" t="s">
        <v>44</v>
      </c>
      <c r="D5" s="14" t="s">
        <v>36</v>
      </c>
      <c r="E5" s="13">
        <v>5</v>
      </c>
      <c r="F5" s="13">
        <v>50</v>
      </c>
      <c r="G5" s="18">
        <v>45299</v>
      </c>
      <c r="H5" s="19">
        <f t="shared" si="0"/>
        <v>250</v>
      </c>
      <c r="M5" s="16" t="s">
        <v>94</v>
      </c>
      <c r="N5" s="16"/>
      <c r="O5" s="16"/>
      <c r="P5" s="16"/>
      <c r="Q5" s="16"/>
    </row>
    <row r="6" spans="1:20" ht="15" customHeight="1" thickBot="1" x14ac:dyDescent="0.35">
      <c r="A6" s="13">
        <v>1005</v>
      </c>
      <c r="B6" s="14" t="s">
        <v>45</v>
      </c>
      <c r="C6" s="14" t="s">
        <v>35</v>
      </c>
      <c r="D6" s="14" t="s">
        <v>46</v>
      </c>
      <c r="E6" s="13">
        <v>30</v>
      </c>
      <c r="F6" s="13">
        <v>5</v>
      </c>
      <c r="G6" s="18">
        <v>45301</v>
      </c>
      <c r="H6" s="19">
        <f t="shared" si="0"/>
        <v>150</v>
      </c>
      <c r="O6" s="21" t="s">
        <v>95</v>
      </c>
      <c r="P6" s="21"/>
      <c r="Q6" s="21"/>
    </row>
    <row r="7" spans="1:20" ht="15" customHeight="1" thickBot="1" x14ac:dyDescent="0.35">
      <c r="A7" s="13">
        <v>1006</v>
      </c>
      <c r="B7" s="14" t="s">
        <v>47</v>
      </c>
      <c r="C7" s="14" t="s">
        <v>38</v>
      </c>
      <c r="D7" s="14" t="s">
        <v>36</v>
      </c>
      <c r="E7" s="13">
        <v>12</v>
      </c>
      <c r="F7" s="13">
        <v>50</v>
      </c>
      <c r="G7" s="18">
        <v>45302</v>
      </c>
      <c r="H7" s="19">
        <f t="shared" si="0"/>
        <v>600</v>
      </c>
      <c r="O7" s="20">
        <f>COUNTA(B2:B51)</f>
        <v>50</v>
      </c>
    </row>
    <row r="8" spans="1:20" ht="15" customHeight="1" thickBot="1" x14ac:dyDescent="0.35">
      <c r="A8" s="13">
        <v>1007</v>
      </c>
      <c r="B8" s="14" t="s">
        <v>48</v>
      </c>
      <c r="C8" s="14" t="s">
        <v>41</v>
      </c>
      <c r="D8" s="14" t="s">
        <v>49</v>
      </c>
      <c r="E8" s="13">
        <v>25</v>
      </c>
      <c r="F8" s="13">
        <v>8</v>
      </c>
      <c r="G8" s="18">
        <v>45304</v>
      </c>
      <c r="H8" s="19">
        <f t="shared" si="0"/>
        <v>200</v>
      </c>
    </row>
    <row r="9" spans="1:20" ht="15" customHeight="1" thickBot="1" x14ac:dyDescent="0.35">
      <c r="A9" s="13">
        <v>1008</v>
      </c>
      <c r="B9" s="14" t="s">
        <v>50</v>
      </c>
      <c r="C9" s="14" t="s">
        <v>44</v>
      </c>
      <c r="D9" s="14" t="s">
        <v>39</v>
      </c>
      <c r="E9" s="13">
        <v>18</v>
      </c>
      <c r="F9" s="13">
        <v>10</v>
      </c>
      <c r="G9" s="18">
        <v>45306</v>
      </c>
      <c r="H9" s="19">
        <f t="shared" si="0"/>
        <v>180</v>
      </c>
      <c r="M9" s="15" t="s">
        <v>96</v>
      </c>
      <c r="N9" s="15"/>
      <c r="O9" s="15"/>
      <c r="P9" s="15"/>
      <c r="Q9" s="15"/>
      <c r="R9" s="15"/>
      <c r="S9" s="15"/>
      <c r="T9" s="15"/>
    </row>
    <row r="10" spans="1:20" ht="15" customHeight="1" thickBot="1" x14ac:dyDescent="0.35">
      <c r="A10" s="13">
        <v>1009</v>
      </c>
      <c r="B10" s="14" t="s">
        <v>51</v>
      </c>
      <c r="C10" s="14" t="s">
        <v>35</v>
      </c>
      <c r="D10" s="14" t="s">
        <v>42</v>
      </c>
      <c r="E10" s="13">
        <v>22</v>
      </c>
      <c r="F10" s="13">
        <v>25</v>
      </c>
      <c r="G10" s="18">
        <v>45308</v>
      </c>
      <c r="H10" s="19">
        <f t="shared" si="0"/>
        <v>550</v>
      </c>
      <c r="M10" s="3" t="s">
        <v>100</v>
      </c>
      <c r="N10" s="3"/>
      <c r="O10" s="3"/>
      <c r="P10" s="3"/>
    </row>
    <row r="11" spans="1:20" ht="15" customHeight="1" thickBot="1" x14ac:dyDescent="0.35">
      <c r="A11" s="13">
        <v>1010</v>
      </c>
      <c r="B11" s="14" t="s">
        <v>52</v>
      </c>
      <c r="C11" s="14" t="s">
        <v>38</v>
      </c>
      <c r="D11" s="14" t="s">
        <v>36</v>
      </c>
      <c r="E11" s="13">
        <v>8</v>
      </c>
      <c r="F11" s="13">
        <v>50</v>
      </c>
      <c r="G11" s="18">
        <v>45309</v>
      </c>
      <c r="H11" s="19">
        <f t="shared" si="0"/>
        <v>400</v>
      </c>
    </row>
    <row r="12" spans="1:20" ht="15" customHeight="1" thickBot="1" x14ac:dyDescent="0.35">
      <c r="A12" s="13">
        <v>1011</v>
      </c>
      <c r="B12" s="14" t="s">
        <v>53</v>
      </c>
      <c r="C12" s="14" t="s">
        <v>41</v>
      </c>
      <c r="D12" s="14" t="s">
        <v>46</v>
      </c>
      <c r="E12" s="13">
        <v>40</v>
      </c>
      <c r="F12" s="13">
        <v>5</v>
      </c>
      <c r="G12" s="18">
        <v>45310</v>
      </c>
      <c r="H12" s="19">
        <f t="shared" si="0"/>
        <v>200</v>
      </c>
      <c r="M12" s="15" t="s">
        <v>97</v>
      </c>
      <c r="N12" s="15"/>
      <c r="O12" s="15"/>
      <c r="P12" s="15"/>
      <c r="Q12" s="15"/>
      <c r="R12" s="15"/>
      <c r="S12" s="15"/>
      <c r="T12" s="15"/>
    </row>
    <row r="13" spans="1:20" ht="15" customHeight="1" thickBot="1" x14ac:dyDescent="0.35">
      <c r="A13" s="13">
        <v>1012</v>
      </c>
      <c r="B13" s="14" t="s">
        <v>54</v>
      </c>
      <c r="C13" s="14" t="s">
        <v>44</v>
      </c>
      <c r="D13" s="14" t="s">
        <v>49</v>
      </c>
      <c r="E13" s="13">
        <v>35</v>
      </c>
      <c r="F13" s="13">
        <v>8</v>
      </c>
      <c r="G13" s="18">
        <v>45311</v>
      </c>
      <c r="H13" s="19">
        <f t="shared" si="0"/>
        <v>280</v>
      </c>
      <c r="M13" s="3" t="s">
        <v>101</v>
      </c>
      <c r="N13" s="3"/>
      <c r="O13" s="3"/>
      <c r="P13" s="3"/>
      <c r="Q13" s="3"/>
    </row>
    <row r="14" spans="1:20" ht="15" customHeight="1" thickBot="1" x14ac:dyDescent="0.35">
      <c r="A14" s="13">
        <v>1013</v>
      </c>
      <c r="B14" s="14" t="s">
        <v>55</v>
      </c>
      <c r="C14" s="14" t="s">
        <v>35</v>
      </c>
      <c r="D14" s="14" t="s">
        <v>36</v>
      </c>
      <c r="E14" s="13">
        <v>14</v>
      </c>
      <c r="F14" s="13">
        <v>50</v>
      </c>
      <c r="G14" s="18">
        <v>45313</v>
      </c>
      <c r="H14" s="19">
        <f t="shared" si="0"/>
        <v>700</v>
      </c>
      <c r="N14" s="23" t="s">
        <v>102</v>
      </c>
      <c r="O14" s="23">
        <f xml:space="preserve"> SUMIFS(H2:H51,D2:D51,D2,C2:C51,C2)</f>
        <v>2900</v>
      </c>
      <c r="P14" s="23"/>
      <c r="R14" s="11"/>
    </row>
    <row r="15" spans="1:20" ht="15" customHeight="1" thickBot="1" x14ac:dyDescent="0.35">
      <c r="A15" s="13">
        <v>1014</v>
      </c>
      <c r="B15" s="14" t="s">
        <v>56</v>
      </c>
      <c r="C15" s="14" t="s">
        <v>38</v>
      </c>
      <c r="D15" s="14" t="s">
        <v>39</v>
      </c>
      <c r="E15" s="13">
        <v>28</v>
      </c>
      <c r="F15" s="13">
        <v>10</v>
      </c>
      <c r="G15" s="18">
        <v>45314</v>
      </c>
      <c r="H15" s="19">
        <f t="shared" si="0"/>
        <v>280</v>
      </c>
      <c r="N15" s="22"/>
    </row>
    <row r="16" spans="1:20" ht="15" customHeight="1" thickBot="1" x14ac:dyDescent="0.35">
      <c r="A16" s="13">
        <v>1015</v>
      </c>
      <c r="B16" s="14" t="s">
        <v>57</v>
      </c>
      <c r="C16" s="14" t="s">
        <v>41</v>
      </c>
      <c r="D16" s="14" t="s">
        <v>42</v>
      </c>
      <c r="E16" s="13">
        <v>12</v>
      </c>
      <c r="F16" s="13">
        <v>25</v>
      </c>
      <c r="G16" s="18">
        <v>45315</v>
      </c>
      <c r="H16" s="19">
        <f t="shared" si="0"/>
        <v>300</v>
      </c>
      <c r="M16" s="28"/>
      <c r="N16" s="28"/>
      <c r="O16" s="28"/>
      <c r="P16" s="28"/>
      <c r="Q16" s="28"/>
      <c r="R16" s="28"/>
      <c r="S16" s="28"/>
      <c r="T16" s="28"/>
    </row>
    <row r="17" spans="1:14" ht="15" customHeight="1" thickBot="1" x14ac:dyDescent="0.35">
      <c r="A17" s="13">
        <v>1016</v>
      </c>
      <c r="B17" s="14" t="s">
        <v>58</v>
      </c>
      <c r="C17" s="14" t="s">
        <v>44</v>
      </c>
      <c r="D17" s="14" t="s">
        <v>46</v>
      </c>
      <c r="E17" s="13">
        <v>25</v>
      </c>
      <c r="F17" s="13">
        <v>5</v>
      </c>
      <c r="G17" s="18">
        <v>45317</v>
      </c>
      <c r="H17" s="19">
        <f t="shared" si="0"/>
        <v>125</v>
      </c>
      <c r="M17" s="29"/>
      <c r="N17" s="29"/>
    </row>
    <row r="18" spans="1:14" ht="15" customHeight="1" thickBot="1" x14ac:dyDescent="0.35">
      <c r="A18" s="13">
        <v>1017</v>
      </c>
      <c r="B18" s="14" t="s">
        <v>59</v>
      </c>
      <c r="C18" s="14" t="s">
        <v>35</v>
      </c>
      <c r="D18" s="14" t="s">
        <v>49</v>
      </c>
      <c r="E18" s="13">
        <v>20</v>
      </c>
      <c r="F18" s="13">
        <v>8</v>
      </c>
      <c r="G18" s="18">
        <v>45319</v>
      </c>
      <c r="H18" s="19">
        <f t="shared" si="0"/>
        <v>160</v>
      </c>
    </row>
    <row r="19" spans="1:14" ht="15" customHeight="1" thickBot="1" x14ac:dyDescent="0.35">
      <c r="A19" s="13">
        <v>1018</v>
      </c>
      <c r="B19" s="14" t="s">
        <v>60</v>
      </c>
      <c r="C19" s="14" t="s">
        <v>38</v>
      </c>
      <c r="D19" s="14" t="s">
        <v>36</v>
      </c>
      <c r="E19" s="13">
        <v>10</v>
      </c>
      <c r="F19" s="13">
        <v>50</v>
      </c>
      <c r="G19" s="18">
        <v>45320</v>
      </c>
      <c r="H19" s="19">
        <f t="shared" si="0"/>
        <v>500</v>
      </c>
    </row>
    <row r="20" spans="1:14" ht="15" customHeight="1" thickBot="1" x14ac:dyDescent="0.35">
      <c r="A20" s="13">
        <v>1019</v>
      </c>
      <c r="B20" s="14" t="s">
        <v>61</v>
      </c>
      <c r="C20" s="14" t="s">
        <v>41</v>
      </c>
      <c r="D20" s="14" t="s">
        <v>39</v>
      </c>
      <c r="E20" s="13">
        <v>15</v>
      </c>
      <c r="F20" s="13">
        <v>10</v>
      </c>
      <c r="G20" s="18">
        <v>45321</v>
      </c>
      <c r="H20" s="19">
        <f t="shared" si="0"/>
        <v>150</v>
      </c>
    </row>
    <row r="21" spans="1:14" ht="15" customHeight="1" thickBot="1" x14ac:dyDescent="0.35">
      <c r="A21" s="13">
        <v>1020</v>
      </c>
      <c r="B21" s="14" t="s">
        <v>62</v>
      </c>
      <c r="C21" s="14" t="s">
        <v>44</v>
      </c>
      <c r="D21" s="14" t="s">
        <v>42</v>
      </c>
      <c r="E21" s="13">
        <v>18</v>
      </c>
      <c r="F21" s="13">
        <v>25</v>
      </c>
      <c r="G21" s="18">
        <v>45323</v>
      </c>
      <c r="H21" s="19">
        <f t="shared" si="0"/>
        <v>450</v>
      </c>
    </row>
    <row r="22" spans="1:14" ht="15" customHeight="1" thickBot="1" x14ac:dyDescent="0.35">
      <c r="A22" s="13">
        <v>1021</v>
      </c>
      <c r="B22" s="14" t="s">
        <v>63</v>
      </c>
      <c r="C22" s="14" t="s">
        <v>35</v>
      </c>
      <c r="D22" s="14" t="s">
        <v>36</v>
      </c>
      <c r="E22" s="13">
        <v>9</v>
      </c>
      <c r="F22" s="13">
        <v>50</v>
      </c>
      <c r="G22" s="18">
        <v>45324</v>
      </c>
      <c r="H22" s="19">
        <f t="shared" si="0"/>
        <v>450</v>
      </c>
    </row>
    <row r="23" spans="1:14" ht="15" customHeight="1" thickBot="1" x14ac:dyDescent="0.35">
      <c r="A23" s="13">
        <v>1022</v>
      </c>
      <c r="B23" s="14" t="s">
        <v>64</v>
      </c>
      <c r="C23" s="14" t="s">
        <v>38</v>
      </c>
      <c r="D23" s="14" t="s">
        <v>46</v>
      </c>
      <c r="E23" s="13">
        <v>35</v>
      </c>
      <c r="F23" s="13">
        <v>5</v>
      </c>
      <c r="G23" s="18">
        <v>45325</v>
      </c>
      <c r="H23" s="19">
        <f t="shared" si="0"/>
        <v>175</v>
      </c>
    </row>
    <row r="24" spans="1:14" ht="15" customHeight="1" thickBot="1" x14ac:dyDescent="0.35">
      <c r="A24" s="13">
        <v>1023</v>
      </c>
      <c r="B24" s="14" t="s">
        <v>65</v>
      </c>
      <c r="C24" s="14" t="s">
        <v>41</v>
      </c>
      <c r="D24" s="14" t="s">
        <v>49</v>
      </c>
      <c r="E24" s="13">
        <v>30</v>
      </c>
      <c r="F24" s="13">
        <v>8</v>
      </c>
      <c r="G24" s="18">
        <v>45326</v>
      </c>
      <c r="H24" s="19">
        <f t="shared" si="0"/>
        <v>240</v>
      </c>
    </row>
    <row r="25" spans="1:14" ht="15" customHeight="1" thickBot="1" x14ac:dyDescent="0.35">
      <c r="A25" s="13">
        <v>1024</v>
      </c>
      <c r="B25" s="14" t="s">
        <v>66</v>
      </c>
      <c r="C25" s="14" t="s">
        <v>44</v>
      </c>
      <c r="D25" s="14" t="s">
        <v>36</v>
      </c>
      <c r="E25" s="13">
        <v>11</v>
      </c>
      <c r="F25" s="13">
        <v>50</v>
      </c>
      <c r="G25" s="18">
        <v>45328</v>
      </c>
      <c r="H25" s="19">
        <f t="shared" si="0"/>
        <v>550</v>
      </c>
    </row>
    <row r="26" spans="1:14" ht="15" customHeight="1" thickBot="1" x14ac:dyDescent="0.35">
      <c r="A26" s="13">
        <v>1025</v>
      </c>
      <c r="B26" s="14" t="s">
        <v>67</v>
      </c>
      <c r="C26" s="14" t="s">
        <v>35</v>
      </c>
      <c r="D26" s="14" t="s">
        <v>39</v>
      </c>
      <c r="E26" s="13">
        <v>14</v>
      </c>
      <c r="F26" s="13">
        <v>10</v>
      </c>
      <c r="G26" s="18">
        <v>45329</v>
      </c>
      <c r="H26" s="19">
        <f t="shared" si="0"/>
        <v>140</v>
      </c>
    </row>
    <row r="27" spans="1:14" ht="15" customHeight="1" thickBot="1" x14ac:dyDescent="0.35">
      <c r="A27" s="13">
        <v>1026</v>
      </c>
      <c r="B27" s="14" t="s">
        <v>68</v>
      </c>
      <c r="C27" s="14" t="s">
        <v>38</v>
      </c>
      <c r="D27" s="14" t="s">
        <v>42</v>
      </c>
      <c r="E27" s="13">
        <v>16</v>
      </c>
      <c r="F27" s="13">
        <v>25</v>
      </c>
      <c r="G27" s="18">
        <v>45330</v>
      </c>
      <c r="H27" s="19">
        <f t="shared" si="0"/>
        <v>400</v>
      </c>
    </row>
    <row r="28" spans="1:14" ht="15" customHeight="1" thickBot="1" x14ac:dyDescent="0.35">
      <c r="A28" s="13">
        <v>1027</v>
      </c>
      <c r="B28" s="14" t="s">
        <v>69</v>
      </c>
      <c r="C28" s="14" t="s">
        <v>41</v>
      </c>
      <c r="D28" s="14" t="s">
        <v>46</v>
      </c>
      <c r="E28" s="13">
        <v>22</v>
      </c>
      <c r="F28" s="13">
        <v>5</v>
      </c>
      <c r="G28" s="18">
        <v>45331</v>
      </c>
      <c r="H28" s="19">
        <f t="shared" si="0"/>
        <v>110</v>
      </c>
    </row>
    <row r="29" spans="1:14" ht="15" customHeight="1" thickBot="1" x14ac:dyDescent="0.35">
      <c r="A29" s="13">
        <v>1028</v>
      </c>
      <c r="B29" s="14" t="s">
        <v>70</v>
      </c>
      <c r="C29" s="14" t="s">
        <v>44</v>
      </c>
      <c r="D29" s="14" t="s">
        <v>49</v>
      </c>
      <c r="E29" s="13">
        <v>27</v>
      </c>
      <c r="F29" s="13">
        <v>8</v>
      </c>
      <c r="G29" s="18">
        <v>45332</v>
      </c>
      <c r="H29" s="19">
        <f t="shared" si="0"/>
        <v>216</v>
      </c>
    </row>
    <row r="30" spans="1:14" ht="15" customHeight="1" thickBot="1" x14ac:dyDescent="0.35">
      <c r="A30" s="13">
        <v>1029</v>
      </c>
      <c r="B30" s="14" t="s">
        <v>71</v>
      </c>
      <c r="C30" s="14" t="s">
        <v>35</v>
      </c>
      <c r="D30" s="14" t="s">
        <v>36</v>
      </c>
      <c r="E30" s="13">
        <v>13</v>
      </c>
      <c r="F30" s="13">
        <v>50</v>
      </c>
      <c r="G30" s="18">
        <v>45334</v>
      </c>
      <c r="H30" s="19">
        <f t="shared" si="0"/>
        <v>650</v>
      </c>
    </row>
    <row r="31" spans="1:14" ht="15" customHeight="1" thickBot="1" x14ac:dyDescent="0.35">
      <c r="A31" s="13">
        <v>1030</v>
      </c>
      <c r="B31" s="14" t="s">
        <v>72</v>
      </c>
      <c r="C31" s="14" t="s">
        <v>38</v>
      </c>
      <c r="D31" s="14" t="s">
        <v>39</v>
      </c>
      <c r="E31" s="13">
        <v>32</v>
      </c>
      <c r="F31" s="13">
        <v>10</v>
      </c>
      <c r="G31" s="18">
        <v>45335</v>
      </c>
      <c r="H31" s="19">
        <f t="shared" si="0"/>
        <v>320</v>
      </c>
    </row>
    <row r="32" spans="1:14" ht="15" customHeight="1" thickBot="1" x14ac:dyDescent="0.35">
      <c r="A32" s="13">
        <v>1031</v>
      </c>
      <c r="B32" s="14" t="s">
        <v>73</v>
      </c>
      <c r="C32" s="14" t="s">
        <v>41</v>
      </c>
      <c r="D32" s="14" t="s">
        <v>42</v>
      </c>
      <c r="E32" s="13">
        <v>10</v>
      </c>
      <c r="F32" s="13">
        <v>25</v>
      </c>
      <c r="G32" s="18">
        <v>45336</v>
      </c>
      <c r="H32" s="19">
        <f t="shared" si="0"/>
        <v>250</v>
      </c>
    </row>
    <row r="33" spans="1:8" ht="15" customHeight="1" thickBot="1" x14ac:dyDescent="0.35">
      <c r="A33" s="13">
        <v>1032</v>
      </c>
      <c r="B33" s="14" t="s">
        <v>74</v>
      </c>
      <c r="C33" s="14" t="s">
        <v>44</v>
      </c>
      <c r="D33" s="14" t="s">
        <v>46</v>
      </c>
      <c r="E33" s="13">
        <v>18</v>
      </c>
      <c r="F33" s="13">
        <v>5</v>
      </c>
      <c r="G33" s="18">
        <v>45338</v>
      </c>
      <c r="H33" s="19">
        <f t="shared" si="0"/>
        <v>90</v>
      </c>
    </row>
    <row r="34" spans="1:8" ht="15" customHeight="1" thickBot="1" x14ac:dyDescent="0.35">
      <c r="A34" s="13">
        <v>1033</v>
      </c>
      <c r="B34" s="14" t="s">
        <v>75</v>
      </c>
      <c r="C34" s="14" t="s">
        <v>35</v>
      </c>
      <c r="D34" s="14" t="s">
        <v>49</v>
      </c>
      <c r="E34" s="13">
        <v>22</v>
      </c>
      <c r="F34" s="13">
        <v>8</v>
      </c>
      <c r="G34" s="18">
        <v>45339</v>
      </c>
      <c r="H34" s="19">
        <f t="shared" si="0"/>
        <v>176</v>
      </c>
    </row>
    <row r="35" spans="1:8" ht="15" customHeight="1" thickBot="1" x14ac:dyDescent="0.35">
      <c r="A35" s="13">
        <v>1034</v>
      </c>
      <c r="B35" s="14" t="s">
        <v>76</v>
      </c>
      <c r="C35" s="14" t="s">
        <v>38</v>
      </c>
      <c r="D35" s="14" t="s">
        <v>36</v>
      </c>
      <c r="E35" s="13">
        <v>17</v>
      </c>
      <c r="F35" s="13">
        <v>50</v>
      </c>
      <c r="G35" s="18">
        <v>45340</v>
      </c>
      <c r="H35" s="19">
        <f t="shared" si="0"/>
        <v>850</v>
      </c>
    </row>
    <row r="36" spans="1:8" ht="15" customHeight="1" thickBot="1" x14ac:dyDescent="0.35">
      <c r="A36" s="13">
        <v>1035</v>
      </c>
      <c r="B36" s="14" t="s">
        <v>77</v>
      </c>
      <c r="C36" s="14" t="s">
        <v>41</v>
      </c>
      <c r="D36" s="14" t="s">
        <v>39</v>
      </c>
      <c r="E36" s="13">
        <v>19</v>
      </c>
      <c r="F36" s="13">
        <v>10</v>
      </c>
      <c r="G36" s="18">
        <v>45341</v>
      </c>
      <c r="H36" s="19">
        <f t="shared" si="0"/>
        <v>190</v>
      </c>
    </row>
    <row r="37" spans="1:8" ht="15" customHeight="1" thickBot="1" x14ac:dyDescent="0.35">
      <c r="A37" s="13">
        <v>1036</v>
      </c>
      <c r="B37" s="14" t="s">
        <v>78</v>
      </c>
      <c r="C37" s="14" t="s">
        <v>44</v>
      </c>
      <c r="D37" s="14" t="s">
        <v>42</v>
      </c>
      <c r="E37" s="13">
        <v>15</v>
      </c>
      <c r="F37" s="13">
        <v>25</v>
      </c>
      <c r="G37" s="18">
        <v>45343</v>
      </c>
      <c r="H37" s="19">
        <f t="shared" si="0"/>
        <v>375</v>
      </c>
    </row>
    <row r="38" spans="1:8" ht="15" customHeight="1" thickBot="1" x14ac:dyDescent="0.35">
      <c r="A38" s="13">
        <v>1037</v>
      </c>
      <c r="B38" s="14" t="s">
        <v>79</v>
      </c>
      <c r="C38" s="14" t="s">
        <v>35</v>
      </c>
      <c r="D38" s="14" t="s">
        <v>46</v>
      </c>
      <c r="E38" s="13">
        <v>28</v>
      </c>
      <c r="F38" s="13">
        <v>5</v>
      </c>
      <c r="G38" s="18">
        <v>45344</v>
      </c>
      <c r="H38" s="19">
        <f t="shared" si="0"/>
        <v>140</v>
      </c>
    </row>
    <row r="39" spans="1:8" ht="15" customHeight="1" thickBot="1" x14ac:dyDescent="0.35">
      <c r="A39" s="13">
        <v>1038</v>
      </c>
      <c r="B39" s="14" t="s">
        <v>80</v>
      </c>
      <c r="C39" s="14" t="s">
        <v>38</v>
      </c>
      <c r="D39" s="14" t="s">
        <v>49</v>
      </c>
      <c r="E39" s="13">
        <v>24</v>
      </c>
      <c r="F39" s="13">
        <v>8</v>
      </c>
      <c r="G39" s="18">
        <v>45345</v>
      </c>
      <c r="H39" s="19">
        <f t="shared" si="0"/>
        <v>192</v>
      </c>
    </row>
    <row r="40" spans="1:8" ht="15" customHeight="1" thickBot="1" x14ac:dyDescent="0.35">
      <c r="A40" s="13">
        <v>1039</v>
      </c>
      <c r="B40" s="14" t="s">
        <v>81</v>
      </c>
      <c r="C40" s="14" t="s">
        <v>41</v>
      </c>
      <c r="D40" s="14" t="s">
        <v>36</v>
      </c>
      <c r="E40" s="13">
        <v>16</v>
      </c>
      <c r="F40" s="13">
        <v>50</v>
      </c>
      <c r="G40" s="18">
        <v>45347</v>
      </c>
      <c r="H40" s="19">
        <f t="shared" si="0"/>
        <v>800</v>
      </c>
    </row>
    <row r="41" spans="1:8" ht="15" customHeight="1" thickBot="1" x14ac:dyDescent="0.35">
      <c r="A41" s="13">
        <v>1040</v>
      </c>
      <c r="B41" s="14" t="s">
        <v>82</v>
      </c>
      <c r="C41" s="14" t="s">
        <v>44</v>
      </c>
      <c r="D41" s="14" t="s">
        <v>39</v>
      </c>
      <c r="E41" s="13">
        <v>27</v>
      </c>
      <c r="F41" s="13">
        <v>10</v>
      </c>
      <c r="G41" s="18">
        <v>45348</v>
      </c>
      <c r="H41" s="19">
        <f t="shared" si="0"/>
        <v>270</v>
      </c>
    </row>
    <row r="42" spans="1:8" ht="15" customHeight="1" thickBot="1" x14ac:dyDescent="0.35">
      <c r="A42" s="13">
        <v>1041</v>
      </c>
      <c r="B42" s="14" t="s">
        <v>83</v>
      </c>
      <c r="C42" s="14" t="s">
        <v>35</v>
      </c>
      <c r="D42" s="14" t="s">
        <v>42</v>
      </c>
      <c r="E42" s="13">
        <v>21</v>
      </c>
      <c r="F42" s="13">
        <v>25</v>
      </c>
      <c r="G42" s="18">
        <v>45349</v>
      </c>
      <c r="H42" s="19">
        <f t="shared" si="0"/>
        <v>525</v>
      </c>
    </row>
    <row r="43" spans="1:8" ht="15" customHeight="1" thickBot="1" x14ac:dyDescent="0.35">
      <c r="A43" s="13">
        <v>1042</v>
      </c>
      <c r="B43" s="14" t="s">
        <v>84</v>
      </c>
      <c r="C43" s="14" t="s">
        <v>38</v>
      </c>
      <c r="D43" s="14" t="s">
        <v>46</v>
      </c>
      <c r="E43" s="13">
        <v>30</v>
      </c>
      <c r="F43" s="13">
        <v>5</v>
      </c>
      <c r="G43" s="18">
        <v>45350</v>
      </c>
      <c r="H43" s="19">
        <f t="shared" si="0"/>
        <v>150</v>
      </c>
    </row>
    <row r="44" spans="1:8" ht="15" customHeight="1" thickBot="1" x14ac:dyDescent="0.35">
      <c r="A44" s="13">
        <v>1043</v>
      </c>
      <c r="B44" s="14" t="s">
        <v>85</v>
      </c>
      <c r="C44" s="14" t="s">
        <v>41</v>
      </c>
      <c r="D44" s="14" t="s">
        <v>49</v>
      </c>
      <c r="E44" s="13">
        <v>26</v>
      </c>
      <c r="F44" s="13">
        <v>8</v>
      </c>
      <c r="G44" s="18">
        <v>45352</v>
      </c>
      <c r="H44" s="19">
        <f t="shared" si="0"/>
        <v>208</v>
      </c>
    </row>
    <row r="45" spans="1:8" ht="15" customHeight="1" thickBot="1" x14ac:dyDescent="0.35">
      <c r="A45" s="13">
        <v>1044</v>
      </c>
      <c r="B45" s="14" t="s">
        <v>86</v>
      </c>
      <c r="C45" s="14" t="s">
        <v>44</v>
      </c>
      <c r="D45" s="14" t="s">
        <v>36</v>
      </c>
      <c r="E45" s="13">
        <v>14</v>
      </c>
      <c r="F45" s="13">
        <v>50</v>
      </c>
      <c r="G45" s="18">
        <v>45353</v>
      </c>
      <c r="H45" s="19">
        <f t="shared" si="0"/>
        <v>700</v>
      </c>
    </row>
    <row r="46" spans="1:8" ht="15" customHeight="1" thickBot="1" x14ac:dyDescent="0.35">
      <c r="A46" s="13">
        <v>1045</v>
      </c>
      <c r="B46" s="14" t="s">
        <v>87</v>
      </c>
      <c r="C46" s="14" t="s">
        <v>35</v>
      </c>
      <c r="D46" s="14" t="s">
        <v>39</v>
      </c>
      <c r="E46" s="13">
        <v>20</v>
      </c>
      <c r="F46" s="13">
        <v>10</v>
      </c>
      <c r="G46" s="18">
        <v>45354</v>
      </c>
      <c r="H46" s="19">
        <f t="shared" si="0"/>
        <v>200</v>
      </c>
    </row>
    <row r="47" spans="1:8" ht="15" customHeight="1" thickBot="1" x14ac:dyDescent="0.35">
      <c r="A47" s="13">
        <v>1046</v>
      </c>
      <c r="B47" s="14" t="s">
        <v>88</v>
      </c>
      <c r="C47" s="14" t="s">
        <v>38</v>
      </c>
      <c r="D47" s="14" t="s">
        <v>42</v>
      </c>
      <c r="E47" s="13">
        <v>17</v>
      </c>
      <c r="F47" s="13">
        <v>25</v>
      </c>
      <c r="G47" s="18">
        <v>45355</v>
      </c>
      <c r="H47" s="19">
        <f t="shared" si="0"/>
        <v>425</v>
      </c>
    </row>
    <row r="48" spans="1:8" ht="15" customHeight="1" thickBot="1" x14ac:dyDescent="0.35">
      <c r="A48" s="13">
        <v>1047</v>
      </c>
      <c r="B48" s="14" t="s">
        <v>89</v>
      </c>
      <c r="C48" s="14" t="s">
        <v>41</v>
      </c>
      <c r="D48" s="14" t="s">
        <v>46</v>
      </c>
      <c r="E48" s="13">
        <v>19</v>
      </c>
      <c r="F48" s="13">
        <v>5</v>
      </c>
      <c r="G48" s="18">
        <v>45356</v>
      </c>
      <c r="H48" s="19">
        <f t="shared" si="0"/>
        <v>95</v>
      </c>
    </row>
    <row r="49" spans="1:8" ht="15" customHeight="1" thickBot="1" x14ac:dyDescent="0.35">
      <c r="A49" s="13">
        <v>1048</v>
      </c>
      <c r="B49" s="14" t="s">
        <v>90</v>
      </c>
      <c r="C49" s="14" t="s">
        <v>44</v>
      </c>
      <c r="D49" s="14" t="s">
        <v>49</v>
      </c>
      <c r="E49" s="13">
        <v>32</v>
      </c>
      <c r="F49" s="13">
        <v>8</v>
      </c>
      <c r="G49" s="18">
        <v>45357</v>
      </c>
      <c r="H49" s="19">
        <f t="shared" si="0"/>
        <v>256</v>
      </c>
    </row>
    <row r="50" spans="1:8" ht="15" customHeight="1" thickBot="1" x14ac:dyDescent="0.35">
      <c r="A50" s="13">
        <v>1049</v>
      </c>
      <c r="B50" s="14" t="s">
        <v>91</v>
      </c>
      <c r="C50" s="14" t="s">
        <v>35</v>
      </c>
      <c r="D50" s="14" t="s">
        <v>36</v>
      </c>
      <c r="E50" s="13">
        <v>12</v>
      </c>
      <c r="F50" s="13">
        <v>50</v>
      </c>
      <c r="G50" s="18">
        <v>45358</v>
      </c>
      <c r="H50" s="19">
        <f t="shared" si="0"/>
        <v>600</v>
      </c>
    </row>
    <row r="51" spans="1:8" ht="15" customHeight="1" thickBot="1" x14ac:dyDescent="0.35">
      <c r="A51" s="13">
        <v>1050</v>
      </c>
      <c r="B51" s="14" t="s">
        <v>92</v>
      </c>
      <c r="C51" s="14" t="s">
        <v>38</v>
      </c>
      <c r="D51" s="14" t="s">
        <v>39</v>
      </c>
      <c r="E51" s="13">
        <v>25</v>
      </c>
      <c r="F51" s="13">
        <v>10</v>
      </c>
      <c r="G51" s="18">
        <v>45359</v>
      </c>
      <c r="H51" s="19">
        <f t="shared" si="0"/>
        <v>250</v>
      </c>
    </row>
  </sheetData>
  <mergeCells count="7">
    <mergeCell ref="O6:Q6"/>
    <mergeCell ref="M10:P10"/>
    <mergeCell ref="M13:Q13"/>
    <mergeCell ref="M3:T3"/>
    <mergeCell ref="M5:Q5"/>
    <mergeCell ref="M9:T9"/>
    <mergeCell ref="M12:T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E4C79-975A-4BC7-A9D7-4D9D21010CC7}">
  <dimension ref="A1:H20"/>
  <sheetViews>
    <sheetView tabSelected="1" topLeftCell="A7" workbookViewId="0">
      <selection activeCell="Q20" sqref="Q20"/>
    </sheetView>
  </sheetViews>
  <sheetFormatPr defaultRowHeight="14.4" x14ac:dyDescent="0.3"/>
  <cols>
    <col min="1" max="1" width="9.77734375" bestFit="1" customWidth="1"/>
    <col min="2" max="2" width="19" bestFit="1" customWidth="1"/>
  </cols>
  <sheetData>
    <row r="1" spans="1:6" x14ac:dyDescent="0.3">
      <c r="A1" s="30" t="s">
        <v>105</v>
      </c>
      <c r="B1" s="30"/>
      <c r="C1" s="30"/>
      <c r="D1" s="30"/>
      <c r="E1" s="30"/>
      <c r="F1" s="30"/>
    </row>
    <row r="3" spans="1:6" x14ac:dyDescent="0.3">
      <c r="A3" s="24" t="s">
        <v>30</v>
      </c>
      <c r="B3" t="s">
        <v>104</v>
      </c>
    </row>
    <row r="4" spans="1:6" x14ac:dyDescent="0.3">
      <c r="A4" t="s">
        <v>49</v>
      </c>
      <c r="B4" s="25">
        <v>1928</v>
      </c>
    </row>
    <row r="5" spans="1:6" x14ac:dyDescent="0.3">
      <c r="A5" t="s">
        <v>42</v>
      </c>
      <c r="B5" s="25">
        <v>3650</v>
      </c>
    </row>
    <row r="6" spans="1:6" x14ac:dyDescent="0.3">
      <c r="A6" t="s">
        <v>36</v>
      </c>
      <c r="B6" s="25">
        <v>7550</v>
      </c>
    </row>
    <row r="7" spans="1:6" x14ac:dyDescent="0.3">
      <c r="A7" t="s">
        <v>39</v>
      </c>
      <c r="B7" s="25">
        <v>2180</v>
      </c>
    </row>
    <row r="8" spans="1:6" x14ac:dyDescent="0.3">
      <c r="A8" t="s">
        <v>46</v>
      </c>
      <c r="B8" s="25">
        <v>1235</v>
      </c>
    </row>
    <row r="9" spans="1:6" x14ac:dyDescent="0.3">
      <c r="A9" s="26" t="s">
        <v>103</v>
      </c>
      <c r="B9" s="27">
        <f>SUM(B4:B8)</f>
        <v>16543</v>
      </c>
    </row>
    <row r="20" spans="1:8" x14ac:dyDescent="0.3">
      <c r="A20" s="15" t="s">
        <v>98</v>
      </c>
      <c r="B20" s="15"/>
      <c r="C20" s="15"/>
      <c r="D20" s="15"/>
      <c r="E20" s="15"/>
      <c r="F20" s="15"/>
      <c r="G20" s="15"/>
      <c r="H20" s="15"/>
    </row>
  </sheetData>
  <mergeCells count="2">
    <mergeCell ref="A1:F1"/>
    <mergeCell ref="A20:H20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 1,2,3</vt:lpstr>
      <vt:lpstr>ques 4,5,6</vt:lpstr>
      <vt:lpstr>ques 7,8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Kaushik</dc:creator>
  <cp:lastModifiedBy>Ansh Kaushik</cp:lastModifiedBy>
  <dcterms:created xsi:type="dcterms:W3CDTF">2025-12-04T10:56:35Z</dcterms:created>
  <dcterms:modified xsi:type="dcterms:W3CDTF">2025-12-04T12:33:52Z</dcterms:modified>
</cp:coreProperties>
</file>